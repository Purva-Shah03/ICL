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6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<sst xmlns="http://schemas.openxmlformats.org/spreadsheetml/2006/main" count="35" uniqueCount="32">
  <si>
    <t>time(min)</t>
  </si>
  <si>
    <t>conductivity</t>
  </si>
  <si>
    <t>conductivity  (mS)</t>
  </si>
  <si>
    <t>Concentration (N)</t>
  </si>
  <si>
    <t>Shoelace Formula area under Conentration - time curve</t>
  </si>
  <si>
    <t>E (t)</t>
  </si>
  <si>
    <t>t * E(t)</t>
  </si>
  <si>
    <t>Shoelace Formula area under E(t) - time curve</t>
  </si>
  <si>
    <t>Shoelace Formula area under t*E(t) - time curve</t>
  </si>
  <si>
    <t>t-tm</t>
  </si>
  <si>
    <t>(t - tm)²</t>
  </si>
  <si>
    <t xml:space="preserve">(t - tm)² E(t) </t>
  </si>
  <si>
    <t>Shoelace Formula area under (t - tm)² E(t)  - time curve</t>
  </si>
  <si>
    <t>E(t) Theoretical</t>
  </si>
  <si>
    <t xml:space="preserve">Area under concentration-time curve: </t>
  </si>
  <si>
    <t xml:space="preserve">Area under E(t)-time curve: </t>
  </si>
  <si>
    <t xml:space="preserve">Area under t * E(t)-time curve: </t>
  </si>
  <si>
    <t xml:space="preserve">Area under  (t - tm)² E(t) -time curve: </t>
  </si>
  <si>
    <t>Mean residence time (tm) (in min) :</t>
  </si>
  <si>
    <t>Variance (σ²)</t>
  </si>
  <si>
    <t>σ</t>
  </si>
  <si>
    <t>Parameter</t>
  </si>
  <si>
    <t>Value</t>
  </si>
  <si>
    <t>unit</t>
  </si>
  <si>
    <t>Temperature, T</t>
  </si>
  <si>
    <t>°C</t>
  </si>
  <si>
    <t>Reactor volume, V</t>
  </si>
  <si>
    <t>mL</t>
  </si>
  <si>
    <t>Volumetric flowrate, v</t>
  </si>
  <si>
    <t>ml/s</t>
  </si>
  <si>
    <t>Space time (τ)</t>
  </si>
  <si>
    <t>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</si>
</sst>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0.0000"/>
    <numFmt numFmtId="165" formatCode="0.00000"/>
    <numFmt numFmtId="166" formatCode="0.0000000"/>
  </numFmts>
  <fonts count="5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  <font>
      <b/>
      <sz val="12.0"/>
      <color theme="1"/>
      <name val="Times New Roman"/>
    </font>
    <font>
      <sz val="12.0"/>
      <color theme="1"/>
      <name val="Times New Roman"/>
    </font>
  </fonts>
  <fills count="4">
    <fill>
      <patternFill patternType="none"/>
    </fill>
    <fill>
      <patternFill patternType="lightGray"/>
    </fill>
    <fill>
      <patternFill patternType="solid">
        <fgColor rgb="FFA4C2F4"/>
        <bgColor rgb="FFA4C2F4"/>
      </patternFill>
    </fill>
    <fill>
      <patternFill patternType="solid">
        <fgColor rgb="FF9FC5E8"/>
        <bgColor rgb="FF9FC5E8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wrapText="1"/>
    </xf>
    <xf borderId="0" fillId="0" fontId="1" numFmtId="0" xfId="0" applyAlignment="1" applyFont="1">
      <alignment horizontal="center" shrinkToFit="0" wrapText="1"/>
    </xf>
    <xf borderId="1" fillId="2" fontId="2" numFmtId="164" xfId="0" applyAlignment="1" applyBorder="1" applyFont="1" applyNumberFormat="1">
      <alignment horizontal="center" shrinkToFit="0" vertical="bottom" wrapText="1"/>
    </xf>
    <xf borderId="1" fillId="2" fontId="2" numFmtId="164" xfId="0" applyAlignment="1" applyBorder="1" applyFont="1" applyNumberFormat="1">
      <alignment horizontal="center" readingOrder="0" shrinkToFit="0" vertical="bottom" wrapText="1"/>
    </xf>
    <xf borderId="1" fillId="0" fontId="1" numFmtId="0" xfId="0" applyAlignment="1" applyBorder="1" applyFont="1">
      <alignment horizontal="center" readingOrder="0" shrinkToFit="0" wrapText="1"/>
    </xf>
    <xf borderId="1" fillId="0" fontId="2" numFmtId="164" xfId="0" applyAlignment="1" applyBorder="1" applyFont="1" applyNumberFormat="1">
      <alignment horizontal="center" shrinkToFit="0" vertical="bottom" wrapText="1"/>
    </xf>
    <xf borderId="1" fillId="0" fontId="2" numFmtId="165" xfId="0" applyAlignment="1" applyBorder="1" applyFont="1" applyNumberFormat="1">
      <alignment horizontal="center" shrinkToFit="0" vertical="bottom" wrapText="1"/>
    </xf>
    <xf borderId="0" fillId="2" fontId="1" numFmtId="0" xfId="0" applyAlignment="1" applyFont="1">
      <alignment horizontal="center" readingOrder="0" shrinkToFit="0" wrapText="1"/>
    </xf>
    <xf borderId="0" fillId="2" fontId="2" numFmtId="164" xfId="0" applyAlignment="1" applyFont="1" applyNumberFormat="1">
      <alignment horizontal="center" readingOrder="0" shrinkToFit="0" vertical="bottom" wrapText="1"/>
    </xf>
    <xf borderId="0" fillId="2" fontId="2" numFmtId="164" xfId="0" applyAlignment="1" applyFont="1" applyNumberFormat="1">
      <alignment horizontal="center" shrinkToFit="0" vertical="bottom" wrapText="1"/>
    </xf>
    <xf borderId="0" fillId="2" fontId="2" numFmtId="166" xfId="0" applyAlignment="1" applyFont="1" applyNumberFormat="1">
      <alignment horizontal="center" readingOrder="0" shrinkToFit="0" vertical="bottom" wrapText="1"/>
    </xf>
    <xf borderId="0" fillId="0" fontId="2" numFmtId="164" xfId="0" applyAlignment="1" applyFont="1" applyNumberFormat="1">
      <alignment horizontal="center" shrinkToFit="0" vertical="bottom" wrapText="1"/>
    </xf>
    <xf borderId="0" fillId="0" fontId="1" numFmtId="0" xfId="0" applyAlignment="1" applyFont="1">
      <alignment horizontal="center" readingOrder="0" shrinkToFit="0" wrapText="1"/>
    </xf>
    <xf borderId="0" fillId="0" fontId="2" numFmtId="166" xfId="0" applyAlignment="1" applyFont="1" applyNumberFormat="1">
      <alignment horizontal="center" shrinkToFit="0" vertical="bottom" wrapText="1"/>
    </xf>
    <xf borderId="0" fillId="0" fontId="2" numFmtId="164" xfId="0" applyAlignment="1" applyFont="1" applyNumberFormat="1">
      <alignment vertical="bottom"/>
    </xf>
    <xf borderId="1" fillId="3" fontId="3" numFmtId="164" xfId="0" applyAlignment="1" applyBorder="1" applyFill="1" applyFont="1" applyNumberFormat="1">
      <alignment horizontal="center" shrinkToFit="0" vertical="top" wrapText="1"/>
    </xf>
    <xf borderId="2" fillId="3" fontId="3" numFmtId="164" xfId="0" applyAlignment="1" applyBorder="1" applyFont="1" applyNumberFormat="1">
      <alignment horizontal="center" shrinkToFit="0" vertical="top" wrapText="1"/>
    </xf>
    <xf borderId="3" fillId="0" fontId="4" numFmtId="164" xfId="0" applyAlignment="1" applyBorder="1" applyFont="1" applyNumberFormat="1">
      <alignment horizontal="center" shrinkToFit="0" vertical="top" wrapText="1"/>
    </xf>
    <xf borderId="4" fillId="0" fontId="2" numFmtId="164" xfId="0" applyAlignment="1" applyBorder="1" applyFont="1" applyNumberFormat="1">
      <alignment horizontal="center" shrinkToFit="0" vertical="top" wrapText="1"/>
    </xf>
    <xf borderId="4" fillId="0" fontId="2" numFmtId="164" xfId="0" applyAlignment="1" applyBorder="1" applyFont="1" applyNumberFormat="1">
      <alignment horizontal="center" readingOrder="0"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Concentration (N) vs. conductivity  (mS)</a:t>
            </a:r>
          </a:p>
        </c:rich>
      </c:tx>
      <c:overlay val="0"/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>Sheet1!$F$1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rgbClr val="351C75"/>
              </a:solidFill>
              <a:ln cmpd="sng">
                <a:solidFill>
                  <a:srgbClr val="351C75"/>
                </a:solidFill>
              </a:ln>
            </c:spPr>
          </c:marker>
          <c:trendline>
            <c:name/>
            <c:spPr>
              <a:ln w="19050">
                <a:solidFill>
                  <a:srgbClr val="000000"/>
                </a:solidFill>
              </a:ln>
            </c:spPr>
            <c:trendlineType val="linear"/>
            <c:dispRSqr val="1"/>
            <c:dispEq val="1"/>
          </c:trendline>
          <c:xVal>
            <c:numRef>
              <c:f>Sheet1!$E$2:$E$5</c:f>
            </c:numRef>
          </c:xVal>
          <c:yVal>
            <c:numRef>
              <c:f>Sheet1!$F$2:$F$5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45924832"/>
        <c:axId val="1828295743"/>
      </c:scatterChart>
      <c:valAx>
        <c:axId val="2145924832"/>
        <c:scaling>
          <c:orientation val="minMax"/>
        </c:scaling>
        <c:delete val="0"/>
        <c:axPos val="b"/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conductivity  (mS)</a:t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28295743"/>
      </c:valAx>
      <c:valAx>
        <c:axId val="1828295743"/>
        <c:scaling>
          <c:orientation val="minMax"/>
        </c:scaling>
        <c:delete val="0"/>
        <c:axPos val="l"/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Concentration (N)</a:t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14592483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Concentration (N) vs time (min)</a:t>
            </a:r>
          </a:p>
        </c:rich>
      </c:tx>
      <c:overlay val="0"/>
    </c:title>
    <c:plotArea>
      <c:layout/>
      <c:areaChart>
        <c:grouping val="stacked"/>
        <c:ser>
          <c:idx val="0"/>
          <c:order val="0"/>
          <c:tx>
            <c:strRef>
              <c:f>Sheet1!$C$14</c:f>
            </c:strRef>
          </c:tx>
          <c:spPr>
            <a:solidFill>
              <a:srgbClr val="351C75">
                <a:alpha val="30000"/>
              </a:srgbClr>
            </a:solidFill>
            <a:ln cmpd="sng">
              <a:solidFill>
                <a:srgbClr val="351C75">
                  <a:alpha val="100000"/>
                </a:srgbClr>
              </a:solidFill>
            </a:ln>
          </c:spPr>
          <c:cat>
            <c:strRef>
              <c:f>Sheet1!$B$15:$B$25</c:f>
            </c:strRef>
          </c:cat>
          <c:val>
            <c:numRef>
              <c:f>Sheet1!$C$15:$C$25</c:f>
              <c:numCache/>
            </c:numRef>
          </c:val>
        </c:ser>
        <c:axId val="273173784"/>
        <c:axId val="1368968085"/>
      </c:areaChart>
      <c:catAx>
        <c:axId val="27317378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time (min)</a:t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68968085"/>
      </c:catAx>
      <c:valAx>
        <c:axId val="1368968085"/>
        <c:scaling>
          <c:orientation val="minMax"/>
          <c:max val="2.1"/>
        </c:scaling>
        <c:delete val="0"/>
        <c:axPos val="l"/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Concentration (N)</a:t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7317378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E(t) vs time (min)</a:t>
            </a:r>
          </a:p>
        </c:rich>
      </c:tx>
      <c:overlay val="0"/>
    </c:title>
    <c:plotArea>
      <c:layout/>
      <c:areaChart>
        <c:grouping val="stacked"/>
        <c:ser>
          <c:idx val="0"/>
          <c:order val="0"/>
          <c:tx>
            <c:strRef>
              <c:f>Sheet1!$F$14</c:f>
            </c:strRef>
          </c:tx>
          <c:spPr>
            <a:solidFill>
              <a:srgbClr val="351C75">
                <a:alpha val="30000"/>
              </a:srgbClr>
            </a:solidFill>
            <a:ln cmpd="sng">
              <a:solidFill>
                <a:srgbClr val="351C75">
                  <a:alpha val="100000"/>
                </a:srgbClr>
              </a:solidFill>
            </a:ln>
          </c:spPr>
          <c:cat>
            <c:strRef>
              <c:f>Sheet1!$B$15:$B$25</c:f>
            </c:strRef>
          </c:cat>
          <c:val>
            <c:numRef>
              <c:f>Sheet1!$F$15:$F$25</c:f>
              <c:numCache/>
            </c:numRef>
          </c:val>
        </c:ser>
        <c:axId val="1641033687"/>
        <c:axId val="1672243992"/>
      </c:areaChart>
      <c:catAx>
        <c:axId val="164103368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time (min)</a:t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72243992"/>
      </c:catAx>
      <c:valAx>
        <c:axId val="1672243992"/>
        <c:scaling>
          <c:orientation val="minMax"/>
        </c:scaling>
        <c:delete val="0"/>
        <c:axPos val="l"/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E(t)</a:t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4103368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t*E(t) vs time (min)</a:t>
            </a:r>
          </a:p>
        </c:rich>
      </c:tx>
      <c:overlay val="0"/>
    </c:title>
    <c:plotArea>
      <c:layout/>
      <c:areaChart>
        <c:grouping val="stacked"/>
        <c:ser>
          <c:idx val="0"/>
          <c:order val="0"/>
          <c:tx>
            <c:strRef>
              <c:f>Sheet1!$G$14</c:f>
            </c:strRef>
          </c:tx>
          <c:spPr>
            <a:solidFill>
              <a:srgbClr val="351C75">
                <a:alpha val="30000"/>
              </a:srgbClr>
            </a:solidFill>
            <a:ln cmpd="sng">
              <a:solidFill>
                <a:srgbClr val="351C75">
                  <a:alpha val="100000"/>
                </a:srgbClr>
              </a:solidFill>
            </a:ln>
          </c:spPr>
          <c:cat>
            <c:strRef>
              <c:f>Sheet1!$B$15:$B$25</c:f>
            </c:strRef>
          </c:cat>
          <c:val>
            <c:numRef>
              <c:f>Sheet1!$G$15:$G$25</c:f>
              <c:numCache/>
            </c:numRef>
          </c:val>
        </c:ser>
        <c:axId val="2010963753"/>
        <c:axId val="952098063"/>
      </c:areaChart>
      <c:catAx>
        <c:axId val="201096375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time (min)</a:t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52098063"/>
      </c:catAx>
      <c:valAx>
        <c:axId val="952098063"/>
        <c:scaling>
          <c:orientation val="minMax"/>
        </c:scaling>
        <c:delete val="0"/>
        <c:axPos val="l"/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t*E(t)</a:t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1096375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(t - tm)² E(t)  vs time (min)</a:t>
            </a:r>
          </a:p>
        </c:rich>
      </c:tx>
      <c:overlay val="0"/>
    </c:title>
    <c:plotArea>
      <c:layout/>
      <c:areaChart>
        <c:grouping val="stacked"/>
        <c:ser>
          <c:idx val="0"/>
          <c:order val="0"/>
          <c:spPr>
            <a:solidFill>
              <a:srgbClr val="351C75">
                <a:alpha val="30000"/>
              </a:srgbClr>
            </a:solidFill>
            <a:ln cmpd="sng">
              <a:solidFill>
                <a:srgbClr val="351C75">
                  <a:alpha val="100000"/>
                </a:srgbClr>
              </a:solidFill>
            </a:ln>
          </c:spPr>
          <c:cat>
            <c:strRef>
              <c:f>Sheet1!$B$14:$B$25</c:f>
            </c:strRef>
          </c:cat>
          <c:val>
            <c:numRef>
              <c:f>Sheet1!$N$15:$N$25</c:f>
              <c:numCache/>
            </c:numRef>
          </c:val>
        </c:ser>
        <c:axId val="1444672896"/>
        <c:axId val="969013060"/>
      </c:areaChart>
      <c:catAx>
        <c:axId val="144467289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time (min)</a:t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69013060"/>
      </c:catAx>
      <c:valAx>
        <c:axId val="969013060"/>
        <c:scaling>
          <c:orientation val="minMax"/>
        </c:scaling>
        <c:delete val="0"/>
        <c:axPos val="l"/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(t - tm)² E(t) </a:t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4467289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E(t) vs time (min)</a:t>
            </a:r>
          </a:p>
        </c:rich>
      </c:tx>
      <c:overlay val="0"/>
    </c:title>
    <c:plotArea>
      <c:layout/>
      <c:lineChart>
        <c:ser>
          <c:idx val="0"/>
          <c:order val="0"/>
          <c:tx>
            <c:v>E (t) (exp)</c:v>
          </c:tx>
          <c:spPr>
            <a:ln cmpd="sng">
              <a:solidFill>
                <a:srgbClr val="351C75">
                  <a:alpha val="100000"/>
                </a:srgbClr>
              </a:solidFill>
            </a:ln>
          </c:spPr>
          <c:marker>
            <c:symbol val="circle"/>
            <c:size val="7"/>
            <c:spPr>
              <a:solidFill>
                <a:srgbClr val="351C75">
                  <a:alpha val="100000"/>
                </a:srgbClr>
              </a:solidFill>
              <a:ln cmpd="sng">
                <a:solidFill>
                  <a:srgbClr val="351C75">
                    <a:alpha val="100000"/>
                  </a:srgbClr>
                </a:solidFill>
              </a:ln>
            </c:spPr>
          </c:marker>
          <c:cat>
            <c:strRef>
              <c:f>Sheet1!$B$15:$B$25</c:f>
            </c:strRef>
          </c:cat>
          <c:val>
            <c:numRef>
              <c:f>Sheet1!$F$15:$F$25</c:f>
              <c:numCache/>
            </c:numRef>
          </c:val>
          <c:smooth val="1"/>
        </c:ser>
        <c:ser>
          <c:idx val="1"/>
          <c:order val="1"/>
          <c:tx>
            <c:strRef>
              <c:f>Sheet1!$Q$14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circle"/>
            <c:size val="7"/>
            <c:spPr>
              <a:solidFill>
                <a:srgbClr val="EA4335"/>
              </a:solidFill>
              <a:ln cmpd="sng">
                <a:solidFill>
                  <a:srgbClr val="EA4335"/>
                </a:solidFill>
              </a:ln>
            </c:spPr>
          </c:marker>
          <c:cat>
            <c:strRef>
              <c:f>Sheet1!$B$15:$B$25</c:f>
            </c:strRef>
          </c:cat>
          <c:val>
            <c:numRef>
              <c:f>Sheet1!$Q$15:$Q$26</c:f>
              <c:numCache/>
            </c:numRef>
          </c:val>
          <c:smooth val="1"/>
        </c:ser>
        <c:axId val="1870056229"/>
        <c:axId val="1964739874"/>
      </c:lineChart>
      <c:catAx>
        <c:axId val="187005622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time (min)</a:t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64739874"/>
      </c:catAx>
      <c:valAx>
        <c:axId val="1964739874"/>
        <c:scaling>
          <c:orientation val="minMax"/>
        </c:scaling>
        <c:delete val="0"/>
        <c:axPos val="l"/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E(t)</a:t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7005622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Relationship Id="rId6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20</xdr:col>
      <xdr:colOff>800100</xdr:colOff>
      <xdr:row>18</xdr:row>
      <xdr:rowOff>171450</xdr:rowOff>
    </xdr:from>
    <xdr:ext cx="5715000" cy="35337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20</xdr:col>
      <xdr:colOff>800100</xdr:colOff>
      <xdr:row>0</xdr:row>
      <xdr:rowOff>342900</xdr:rowOff>
    </xdr:from>
    <xdr:ext cx="5715000" cy="35337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3</xdr:col>
      <xdr:colOff>409575</xdr:colOff>
      <xdr:row>32</xdr:row>
      <xdr:rowOff>76200</xdr:rowOff>
    </xdr:from>
    <xdr:ext cx="5715000" cy="3533775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9</xdr:col>
      <xdr:colOff>504825</xdr:colOff>
      <xdr:row>32</xdr:row>
      <xdr:rowOff>123825</xdr:rowOff>
    </xdr:from>
    <xdr:ext cx="5715000" cy="3533775"/>
    <xdr:graphicFrame>
      <xdr:nvGraphicFramePr>
        <xdr:cNvPr id="4" name="Chart 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16</xdr:col>
      <xdr:colOff>0</xdr:colOff>
      <xdr:row>36</xdr:row>
      <xdr:rowOff>295275</xdr:rowOff>
    </xdr:from>
    <xdr:ext cx="5715000" cy="3533775"/>
    <xdr:graphicFrame>
      <xdr:nvGraphicFramePr>
        <xdr:cNvPr id="5" name="Chart 5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  <xdr:oneCellAnchor>
    <xdr:from>
      <xdr:col>0</xdr:col>
      <xdr:colOff>0</xdr:colOff>
      <xdr:row>47</xdr:row>
      <xdr:rowOff>123825</xdr:rowOff>
    </xdr:from>
    <xdr:ext cx="5715000" cy="3533775"/>
    <xdr:graphicFrame>
      <xdr:nvGraphicFramePr>
        <xdr:cNvPr id="6" name="Chart 6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6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3" width="14.75"/>
  </cols>
  <sheetData>
    <row r="1">
      <c r="A1" s="1" t="s">
        <v>0</v>
      </c>
      <c r="B1" s="1" t="s">
        <v>1</v>
      </c>
      <c r="C1" s="2"/>
      <c r="E1" s="3" t="s">
        <v>2</v>
      </c>
      <c r="F1" s="4" t="s">
        <v>3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2">
      <c r="A2" s="5">
        <v>3.0</v>
      </c>
      <c r="B2" s="5">
        <v>386.4</v>
      </c>
      <c r="C2" s="2"/>
      <c r="E2" s="6">
        <v>10.86</v>
      </c>
      <c r="F2" s="6">
        <v>0.05</v>
      </c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</row>
    <row r="3">
      <c r="A3" s="5">
        <v>6.0</v>
      </c>
      <c r="B3" s="5">
        <v>390.3</v>
      </c>
      <c r="C3" s="2"/>
      <c r="E3" s="6">
        <v>5.046</v>
      </c>
      <c r="F3" s="6">
        <v>0.025</v>
      </c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</row>
    <row r="4">
      <c r="A4" s="5">
        <v>9.0</v>
      </c>
      <c r="B4" s="5">
        <v>442.9</v>
      </c>
      <c r="C4" s="2"/>
      <c r="E4" s="6">
        <v>2.08</v>
      </c>
      <c r="F4" s="6">
        <v>0.0125</v>
      </c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</row>
    <row r="5">
      <c r="A5" s="5">
        <v>12.0</v>
      </c>
      <c r="B5" s="5">
        <v>439.8</v>
      </c>
      <c r="C5" s="2"/>
      <c r="E5" s="6">
        <v>1.291</v>
      </c>
      <c r="F5" s="7">
        <v>0.00625</v>
      </c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</row>
    <row r="6">
      <c r="A6" s="5">
        <v>15.0</v>
      </c>
      <c r="B6" s="5">
        <v>412.0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</row>
    <row r="7">
      <c r="A7" s="5">
        <v>18.0</v>
      </c>
      <c r="B7" s="5">
        <v>408.4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</row>
    <row r="8">
      <c r="A8" s="5">
        <v>21.0</v>
      </c>
      <c r="B8" s="5">
        <v>405.1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</row>
    <row r="9">
      <c r="A9" s="5">
        <v>24.0</v>
      </c>
      <c r="B9" s="5">
        <v>400.4</v>
      </c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</row>
    <row r="10">
      <c r="A10" s="5">
        <v>27.0</v>
      </c>
      <c r="B10" s="5">
        <v>395.4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</row>
    <row r="11">
      <c r="A11" s="5">
        <v>30.0</v>
      </c>
      <c r="B11" s="5">
        <v>389.8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</row>
    <row r="12">
      <c r="A12" s="5">
        <v>33.0</v>
      </c>
      <c r="B12" s="5">
        <v>388.9</v>
      </c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</row>
    <row r="14">
      <c r="A14" s="8" t="s">
        <v>1</v>
      </c>
      <c r="B14" s="8" t="s">
        <v>0</v>
      </c>
      <c r="C14" s="9" t="s">
        <v>3</v>
      </c>
      <c r="D14" s="10" t="s">
        <v>4</v>
      </c>
      <c r="F14" s="10" t="s">
        <v>5</v>
      </c>
      <c r="G14" s="10" t="s">
        <v>6</v>
      </c>
      <c r="H14" s="10" t="s">
        <v>7</v>
      </c>
      <c r="J14" s="10" t="s">
        <v>8</v>
      </c>
      <c r="L14" s="10" t="s">
        <v>9</v>
      </c>
      <c r="M14" s="10" t="s">
        <v>10</v>
      </c>
      <c r="N14" s="10" t="s">
        <v>11</v>
      </c>
      <c r="O14" s="10" t="s">
        <v>12</v>
      </c>
      <c r="Q14" s="11" t="s">
        <v>13</v>
      </c>
      <c r="R14" s="12"/>
      <c r="S14" s="12"/>
      <c r="U14" s="2"/>
      <c r="V14" s="2"/>
      <c r="W14" s="2"/>
      <c r="X14" s="2"/>
      <c r="Y14" s="2"/>
      <c r="Z14" s="2"/>
      <c r="AA14" s="2"/>
      <c r="AB14" s="2"/>
    </row>
    <row r="15">
      <c r="A15" s="13">
        <v>386.4</v>
      </c>
      <c r="B15" s="13">
        <v>3.0</v>
      </c>
      <c r="C15" s="12">
        <f t="shared" ref="C15:C25" si="1">0.00445*A15+0.00199</f>
        <v>1.72147</v>
      </c>
      <c r="D15" s="12">
        <f t="shared" ref="D15:D25" si="2">C15*B16</f>
        <v>10.32882</v>
      </c>
      <c r="E15" s="12">
        <f t="shared" ref="E15:E25" si="3">B15*C16</f>
        <v>5.216475</v>
      </c>
      <c r="F15" s="12">
        <f t="shared" ref="F15:F25" si="4">C15/$D$28</f>
        <v>0.03020135126</v>
      </c>
      <c r="G15" s="12">
        <f t="shared" ref="G15:G25" si="5">B15*F15</f>
        <v>0.09060405378</v>
      </c>
      <c r="H15" s="12">
        <f t="shared" ref="H15:H25" si="6">F15*B16</f>
        <v>0.1812081076</v>
      </c>
      <c r="I15" s="12">
        <f t="shared" ref="I15:I25" si="7">B15*F16</f>
        <v>0.09151747856</v>
      </c>
      <c r="J15" s="12">
        <f t="shared" ref="J15:J25" si="8">G15*B16</f>
        <v>0.5436243227</v>
      </c>
      <c r="K15" s="12">
        <f t="shared" ref="K15:K25" si="9">G16*B15</f>
        <v>0.5491048713</v>
      </c>
      <c r="L15" s="12">
        <f t="shared" ref="L15:L25" si="10">abs(B15-$K$30)</f>
        <v>14.16311461</v>
      </c>
      <c r="M15" s="12">
        <f t="shared" ref="M15:M25" si="11">L15*L15</f>
        <v>200.5938155</v>
      </c>
      <c r="N15" s="12">
        <f t="shared" ref="N15:N25" si="12">M15*F15</f>
        <v>6.058204283</v>
      </c>
      <c r="O15" s="12">
        <f t="shared" ref="O15:O25" si="13">N15*B16</f>
        <v>36.3492257</v>
      </c>
      <c r="P15" s="12">
        <f t="shared" ref="P15:P25" si="14">N16*B15</f>
        <v>11.40446229</v>
      </c>
      <c r="Q15" s="14">
        <f t="shared" ref="Q15:Q25" si="15">(4*B15*exp(-2*B15/17.16))/(17.16*17.16)</f>
        <v>0.02872734312</v>
      </c>
      <c r="R15" s="12"/>
      <c r="S15" s="12"/>
      <c r="T15" s="12"/>
      <c r="U15" s="2"/>
      <c r="V15" s="2"/>
      <c r="W15" s="2"/>
      <c r="X15" s="2"/>
      <c r="Y15" s="2"/>
      <c r="Z15" s="2"/>
      <c r="AA15" s="2"/>
      <c r="AB15" s="2"/>
    </row>
    <row r="16">
      <c r="A16" s="13">
        <v>390.3</v>
      </c>
      <c r="B16" s="13">
        <v>6.0</v>
      </c>
      <c r="C16" s="12">
        <f t="shared" si="1"/>
        <v>1.738825</v>
      </c>
      <c r="D16" s="12">
        <f t="shared" si="2"/>
        <v>15.649425</v>
      </c>
      <c r="E16" s="12">
        <f t="shared" si="3"/>
        <v>11.83737</v>
      </c>
      <c r="F16" s="12">
        <f t="shared" si="4"/>
        <v>0.03050582619</v>
      </c>
      <c r="G16" s="12">
        <f t="shared" si="5"/>
        <v>0.1830349571</v>
      </c>
      <c r="H16" s="12">
        <f t="shared" si="6"/>
        <v>0.2745524357</v>
      </c>
      <c r="I16" s="12">
        <f t="shared" si="7"/>
        <v>0.207674005</v>
      </c>
      <c r="J16" s="12">
        <f t="shared" si="8"/>
        <v>1.647314614</v>
      </c>
      <c r="K16" s="12">
        <f t="shared" si="9"/>
        <v>1.869066045</v>
      </c>
      <c r="L16" s="12">
        <f t="shared" si="10"/>
        <v>11.16311461</v>
      </c>
      <c r="M16" s="12">
        <f t="shared" si="11"/>
        <v>124.6151279</v>
      </c>
      <c r="N16" s="12">
        <f t="shared" si="12"/>
        <v>3.801487431</v>
      </c>
      <c r="O16" s="12">
        <f t="shared" si="13"/>
        <v>34.21338687</v>
      </c>
      <c r="P16" s="12">
        <f t="shared" si="14"/>
        <v>13.83865641</v>
      </c>
      <c r="Q16" s="14">
        <f t="shared" si="15"/>
        <v>0.04050179208</v>
      </c>
      <c r="R16" s="12"/>
      <c r="S16" s="12"/>
      <c r="T16" s="12"/>
      <c r="U16" s="2"/>
      <c r="V16" s="2"/>
      <c r="W16" s="2"/>
      <c r="X16" s="2"/>
      <c r="Y16" s="2"/>
      <c r="Z16" s="2"/>
      <c r="AA16" s="2"/>
      <c r="AB16" s="2"/>
    </row>
    <row r="17">
      <c r="A17" s="13">
        <v>442.9</v>
      </c>
      <c r="B17" s="13">
        <v>9.0</v>
      </c>
      <c r="C17" s="12">
        <f t="shared" si="1"/>
        <v>1.972895</v>
      </c>
      <c r="D17" s="12">
        <f t="shared" si="2"/>
        <v>23.67474</v>
      </c>
      <c r="E17" s="12">
        <f t="shared" si="3"/>
        <v>17.6319</v>
      </c>
      <c r="F17" s="12">
        <f t="shared" si="4"/>
        <v>0.03461233416</v>
      </c>
      <c r="G17" s="12">
        <f t="shared" si="5"/>
        <v>0.3115110075</v>
      </c>
      <c r="H17" s="12">
        <f t="shared" si="6"/>
        <v>0.41534801</v>
      </c>
      <c r="I17" s="12">
        <f t="shared" si="7"/>
        <v>0.3093328407</v>
      </c>
      <c r="J17" s="12">
        <f t="shared" si="8"/>
        <v>3.73813209</v>
      </c>
      <c r="K17" s="12">
        <f t="shared" si="9"/>
        <v>3.711994088</v>
      </c>
      <c r="L17" s="12">
        <f t="shared" si="10"/>
        <v>8.163114613</v>
      </c>
      <c r="M17" s="12">
        <f t="shared" si="11"/>
        <v>66.63644018</v>
      </c>
      <c r="N17" s="12">
        <f t="shared" si="12"/>
        <v>2.306442735</v>
      </c>
      <c r="O17" s="12">
        <f t="shared" si="13"/>
        <v>27.67731282</v>
      </c>
      <c r="P17" s="12">
        <f t="shared" si="14"/>
        <v>8.246118309</v>
      </c>
      <c r="Q17" s="14">
        <f t="shared" si="15"/>
        <v>0.04282666747</v>
      </c>
      <c r="R17" s="12"/>
      <c r="S17" s="12"/>
      <c r="T17" s="12"/>
      <c r="U17" s="2"/>
      <c r="V17" s="2"/>
      <c r="W17" s="2"/>
      <c r="X17" s="2"/>
      <c r="Y17" s="2"/>
      <c r="Z17" s="2"/>
      <c r="AA17" s="2"/>
      <c r="AB17" s="2"/>
    </row>
    <row r="18">
      <c r="A18" s="13">
        <v>439.8</v>
      </c>
      <c r="B18" s="13">
        <v>12.0</v>
      </c>
      <c r="C18" s="12">
        <f t="shared" si="1"/>
        <v>1.9591</v>
      </c>
      <c r="D18" s="12">
        <f t="shared" si="2"/>
        <v>29.3865</v>
      </c>
      <c r="E18" s="12">
        <f t="shared" si="3"/>
        <v>22.02468</v>
      </c>
      <c r="F18" s="12">
        <f t="shared" si="4"/>
        <v>0.03437031563</v>
      </c>
      <c r="G18" s="12">
        <f t="shared" si="5"/>
        <v>0.4124437876</v>
      </c>
      <c r="H18" s="12">
        <f t="shared" si="6"/>
        <v>0.5155547345</v>
      </c>
      <c r="I18" s="12">
        <f t="shared" si="7"/>
        <v>0.3863994708</v>
      </c>
      <c r="J18" s="12">
        <f t="shared" si="8"/>
        <v>6.186656814</v>
      </c>
      <c r="K18" s="12">
        <f t="shared" si="9"/>
        <v>5.795992063</v>
      </c>
      <c r="L18" s="12">
        <f t="shared" si="10"/>
        <v>5.163114613</v>
      </c>
      <c r="M18" s="12">
        <f t="shared" si="11"/>
        <v>26.6577525</v>
      </c>
      <c r="N18" s="12">
        <f t="shared" si="12"/>
        <v>0.9162353676</v>
      </c>
      <c r="O18" s="12">
        <f t="shared" si="13"/>
        <v>13.74353051</v>
      </c>
      <c r="P18" s="12">
        <f t="shared" si="14"/>
        <v>1.807988173</v>
      </c>
      <c r="Q18" s="14">
        <f t="shared" si="15"/>
        <v>0.04025332878</v>
      </c>
      <c r="R18" s="12"/>
      <c r="S18" s="12"/>
      <c r="T18" s="12"/>
      <c r="U18" s="2"/>
      <c r="V18" s="2"/>
      <c r="W18" s="2"/>
      <c r="X18" s="2"/>
      <c r="Y18" s="2"/>
      <c r="Z18" s="2"/>
      <c r="AA18" s="2"/>
      <c r="AB18" s="2"/>
    </row>
    <row r="19">
      <c r="A19" s="13">
        <v>412.0</v>
      </c>
      <c r="B19" s="13">
        <v>15.0</v>
      </c>
      <c r="C19" s="12">
        <f t="shared" si="1"/>
        <v>1.83539</v>
      </c>
      <c r="D19" s="12">
        <f t="shared" si="2"/>
        <v>33.03702</v>
      </c>
      <c r="E19" s="12">
        <f t="shared" si="3"/>
        <v>27.29055</v>
      </c>
      <c r="F19" s="12">
        <f t="shared" si="4"/>
        <v>0.0321999559</v>
      </c>
      <c r="G19" s="12">
        <f t="shared" si="5"/>
        <v>0.4829993385</v>
      </c>
      <c r="H19" s="12">
        <f t="shared" si="6"/>
        <v>0.5795992063</v>
      </c>
      <c r="I19" s="12">
        <f t="shared" si="7"/>
        <v>0.4787835319</v>
      </c>
      <c r="J19" s="12">
        <f t="shared" si="8"/>
        <v>8.693988094</v>
      </c>
      <c r="K19" s="12">
        <f t="shared" si="9"/>
        <v>8.618103574</v>
      </c>
      <c r="L19" s="12">
        <f t="shared" si="10"/>
        <v>2.163114613</v>
      </c>
      <c r="M19" s="12">
        <f t="shared" si="11"/>
        <v>4.679064828</v>
      </c>
      <c r="N19" s="12">
        <f t="shared" si="12"/>
        <v>0.1506656811</v>
      </c>
      <c r="O19" s="12">
        <f t="shared" si="13"/>
        <v>2.71198226</v>
      </c>
      <c r="P19" s="12">
        <f t="shared" si="14"/>
        <v>0.3353290462</v>
      </c>
      <c r="Q19" s="14">
        <f t="shared" si="15"/>
        <v>0.03546995162</v>
      </c>
      <c r="R19" s="12"/>
      <c r="S19" s="12"/>
      <c r="T19" s="12"/>
      <c r="U19" s="2"/>
      <c r="V19" s="2"/>
      <c r="W19" s="2"/>
      <c r="X19" s="2"/>
      <c r="Y19" s="2"/>
      <c r="Z19" s="2"/>
      <c r="AA19" s="2"/>
      <c r="AB19" s="2"/>
    </row>
    <row r="20">
      <c r="A20" s="13">
        <v>408.4</v>
      </c>
      <c r="B20" s="13">
        <v>18.0</v>
      </c>
      <c r="C20" s="12">
        <f t="shared" si="1"/>
        <v>1.81937</v>
      </c>
      <c r="D20" s="12">
        <f t="shared" si="2"/>
        <v>38.20677</v>
      </c>
      <c r="E20" s="12">
        <f t="shared" si="3"/>
        <v>32.48433</v>
      </c>
      <c r="F20" s="12">
        <f t="shared" si="4"/>
        <v>0.03191890213</v>
      </c>
      <c r="G20" s="12">
        <f t="shared" si="5"/>
        <v>0.5745402383</v>
      </c>
      <c r="H20" s="12">
        <f t="shared" si="6"/>
        <v>0.6702969446</v>
      </c>
      <c r="I20" s="12">
        <f t="shared" si="7"/>
        <v>0.5699028509</v>
      </c>
      <c r="J20" s="12">
        <f t="shared" si="8"/>
        <v>12.065345</v>
      </c>
      <c r="K20" s="12">
        <f t="shared" si="9"/>
        <v>11.96795987</v>
      </c>
      <c r="L20" s="12">
        <f t="shared" si="10"/>
        <v>0.8368853873</v>
      </c>
      <c r="M20" s="12">
        <f t="shared" si="11"/>
        <v>0.7003771515</v>
      </c>
      <c r="N20" s="12">
        <f t="shared" si="12"/>
        <v>0.02235526975</v>
      </c>
      <c r="O20" s="12">
        <f t="shared" si="13"/>
        <v>0.4694606647</v>
      </c>
      <c r="P20" s="12">
        <f t="shared" si="14"/>
        <v>8.389932802</v>
      </c>
      <c r="Q20" s="14">
        <f t="shared" si="15"/>
        <v>0.03000479229</v>
      </c>
      <c r="R20" s="12"/>
      <c r="S20" s="12"/>
      <c r="T20" s="12"/>
      <c r="U20" s="2"/>
      <c r="V20" s="2"/>
      <c r="W20" s="2"/>
      <c r="X20" s="2"/>
      <c r="Y20" s="2"/>
      <c r="Z20" s="2"/>
      <c r="AA20" s="2"/>
      <c r="AB20" s="2"/>
    </row>
    <row r="21">
      <c r="A21" s="13">
        <v>405.1</v>
      </c>
      <c r="B21" s="13">
        <v>21.0</v>
      </c>
      <c r="C21" s="12">
        <f t="shared" si="1"/>
        <v>1.804685</v>
      </c>
      <c r="D21" s="12">
        <f t="shared" si="2"/>
        <v>43.31244</v>
      </c>
      <c r="E21" s="12">
        <f t="shared" si="3"/>
        <v>37.45917</v>
      </c>
      <c r="F21" s="12">
        <f t="shared" si="4"/>
        <v>0.0316612695</v>
      </c>
      <c r="G21" s="12">
        <f t="shared" si="5"/>
        <v>0.6648866594</v>
      </c>
      <c r="H21" s="12">
        <f t="shared" si="6"/>
        <v>0.7598704679</v>
      </c>
      <c r="I21" s="12">
        <f t="shared" si="7"/>
        <v>0.6571811017</v>
      </c>
      <c r="J21" s="12">
        <f t="shared" si="8"/>
        <v>15.95727983</v>
      </c>
      <c r="K21" s="12">
        <f t="shared" si="9"/>
        <v>15.77234644</v>
      </c>
      <c r="L21" s="12">
        <f t="shared" si="10"/>
        <v>3.836885387</v>
      </c>
      <c r="M21" s="12">
        <f t="shared" si="11"/>
        <v>14.72168948</v>
      </c>
      <c r="N21" s="12">
        <f t="shared" si="12"/>
        <v>0.4661073779</v>
      </c>
      <c r="O21" s="12">
        <f t="shared" si="13"/>
        <v>11.18657707</v>
      </c>
      <c r="P21" s="12">
        <f t="shared" si="14"/>
        <v>30.71861742</v>
      </c>
      <c r="Q21" s="14">
        <f t="shared" si="15"/>
        <v>0.02467664975</v>
      </c>
      <c r="R21" s="12"/>
      <c r="S21" s="12"/>
      <c r="T21" s="12"/>
      <c r="U21" s="2"/>
      <c r="V21" s="2"/>
      <c r="W21" s="2"/>
      <c r="X21" s="2"/>
      <c r="Y21" s="2"/>
      <c r="Z21" s="2"/>
      <c r="AA21" s="2"/>
      <c r="AB21" s="2"/>
    </row>
    <row r="22">
      <c r="A22" s="13">
        <v>400.4</v>
      </c>
      <c r="B22" s="13">
        <v>24.0</v>
      </c>
      <c r="C22" s="12">
        <f t="shared" si="1"/>
        <v>1.78377</v>
      </c>
      <c r="D22" s="12">
        <f t="shared" si="2"/>
        <v>48.16179</v>
      </c>
      <c r="E22" s="12">
        <f t="shared" si="3"/>
        <v>42.27648</v>
      </c>
      <c r="F22" s="12">
        <f t="shared" si="4"/>
        <v>0.03129433817</v>
      </c>
      <c r="G22" s="12">
        <f t="shared" si="5"/>
        <v>0.7510641162</v>
      </c>
      <c r="H22" s="12">
        <f t="shared" si="6"/>
        <v>0.8449471307</v>
      </c>
      <c r="I22" s="12">
        <f t="shared" si="7"/>
        <v>0.7416956569</v>
      </c>
      <c r="J22" s="12">
        <f t="shared" si="8"/>
        <v>20.27873114</v>
      </c>
      <c r="K22" s="12">
        <f t="shared" si="9"/>
        <v>20.02578274</v>
      </c>
      <c r="L22" s="12">
        <f t="shared" si="10"/>
        <v>6.836885387</v>
      </c>
      <c r="M22" s="12">
        <f t="shared" si="11"/>
        <v>46.7430018</v>
      </c>
      <c r="N22" s="12">
        <f t="shared" si="12"/>
        <v>1.462791306</v>
      </c>
      <c r="O22" s="12">
        <f t="shared" si="13"/>
        <v>39.49536525</v>
      </c>
      <c r="P22" s="12">
        <f t="shared" si="14"/>
        <v>71.76967153</v>
      </c>
      <c r="Q22" s="14">
        <f t="shared" si="15"/>
        <v>0.01988048277</v>
      </c>
      <c r="R22" s="12"/>
      <c r="S22" s="12"/>
      <c r="T22" s="12"/>
      <c r="U22" s="2"/>
      <c r="V22" s="2"/>
      <c r="W22" s="2"/>
      <c r="X22" s="2"/>
      <c r="Y22" s="2"/>
      <c r="Z22" s="2"/>
      <c r="AA22" s="2"/>
      <c r="AB22" s="2"/>
    </row>
    <row r="23">
      <c r="A23" s="13">
        <v>395.4</v>
      </c>
      <c r="B23" s="13">
        <v>27.0</v>
      </c>
      <c r="C23" s="12">
        <f t="shared" si="1"/>
        <v>1.76152</v>
      </c>
      <c r="D23" s="12">
        <f t="shared" si="2"/>
        <v>52.8456</v>
      </c>
      <c r="E23" s="12">
        <f t="shared" si="3"/>
        <v>46.8882</v>
      </c>
      <c r="F23" s="12">
        <f t="shared" si="4"/>
        <v>0.0309039857</v>
      </c>
      <c r="G23" s="12">
        <f t="shared" si="5"/>
        <v>0.834407614</v>
      </c>
      <c r="H23" s="12">
        <f t="shared" si="6"/>
        <v>0.9271195711</v>
      </c>
      <c r="I23" s="12">
        <f t="shared" si="7"/>
        <v>0.8226033554</v>
      </c>
      <c r="J23" s="12">
        <f t="shared" si="8"/>
        <v>25.03222842</v>
      </c>
      <c r="K23" s="12">
        <f t="shared" si="9"/>
        <v>24.67810066</v>
      </c>
      <c r="L23" s="12">
        <f t="shared" si="10"/>
        <v>9.836885387</v>
      </c>
      <c r="M23" s="12">
        <f t="shared" si="11"/>
        <v>96.76431412</v>
      </c>
      <c r="N23" s="12">
        <f t="shared" si="12"/>
        <v>2.99040298</v>
      </c>
      <c r="O23" s="12">
        <f t="shared" si="13"/>
        <v>89.71208941</v>
      </c>
      <c r="P23" s="12">
        <f t="shared" si="14"/>
        <v>135.5532092</v>
      </c>
      <c r="Q23" s="14">
        <f t="shared" si="15"/>
        <v>0.01576624356</v>
      </c>
      <c r="R23" s="12"/>
      <c r="S23" s="12"/>
      <c r="T23" s="12"/>
      <c r="U23" s="2"/>
      <c r="V23" s="2"/>
      <c r="W23" s="2"/>
      <c r="X23" s="2"/>
      <c r="Y23" s="2"/>
      <c r="Z23" s="2"/>
      <c r="AA23" s="2"/>
      <c r="AB23" s="2"/>
    </row>
    <row r="24">
      <c r="A24" s="13">
        <v>389.8</v>
      </c>
      <c r="B24" s="13">
        <v>30.0</v>
      </c>
      <c r="C24" s="12">
        <f t="shared" si="1"/>
        <v>1.7366</v>
      </c>
      <c r="D24" s="12">
        <f t="shared" si="2"/>
        <v>57.3078</v>
      </c>
      <c r="E24" s="12">
        <f t="shared" si="3"/>
        <v>51.97785</v>
      </c>
      <c r="F24" s="12">
        <f t="shared" si="4"/>
        <v>0.03046679094</v>
      </c>
      <c r="G24" s="12">
        <f t="shared" si="5"/>
        <v>0.9140037282</v>
      </c>
      <c r="H24" s="12">
        <f t="shared" si="6"/>
        <v>1.005404101</v>
      </c>
      <c r="I24" s="12">
        <f t="shared" si="7"/>
        <v>0.9118958248</v>
      </c>
      <c r="J24" s="12">
        <f t="shared" si="8"/>
        <v>30.16212303</v>
      </c>
      <c r="K24" s="12">
        <f t="shared" si="9"/>
        <v>30.09256222</v>
      </c>
      <c r="L24" s="12">
        <f t="shared" si="10"/>
        <v>12.83688539</v>
      </c>
      <c r="M24" s="12">
        <f t="shared" si="11"/>
        <v>164.7856264</v>
      </c>
      <c r="N24" s="12">
        <f t="shared" si="12"/>
        <v>5.020489231</v>
      </c>
      <c r="O24" s="12">
        <f t="shared" si="13"/>
        <v>165.6761446</v>
      </c>
      <c r="P24" s="12">
        <f t="shared" si="14"/>
        <v>228.7098003</v>
      </c>
      <c r="Q24" s="14">
        <f t="shared" si="15"/>
        <v>0.01234907717</v>
      </c>
      <c r="R24" s="12"/>
      <c r="S24" s="12"/>
      <c r="T24" s="12"/>
      <c r="U24" s="2"/>
      <c r="V24" s="2"/>
      <c r="W24" s="2"/>
      <c r="X24" s="2"/>
      <c r="Y24" s="2"/>
      <c r="Z24" s="2"/>
      <c r="AA24" s="2"/>
      <c r="AB24" s="2"/>
    </row>
    <row r="25">
      <c r="A25" s="13">
        <v>388.9</v>
      </c>
      <c r="B25" s="13">
        <v>33.0</v>
      </c>
      <c r="C25" s="12">
        <f t="shared" si="1"/>
        <v>1.732595</v>
      </c>
      <c r="D25" s="12">
        <f t="shared" si="2"/>
        <v>57.175635</v>
      </c>
      <c r="E25" s="12">
        <f t="shared" si="3"/>
        <v>0</v>
      </c>
      <c r="F25" s="12">
        <f t="shared" si="4"/>
        <v>0.03039652749</v>
      </c>
      <c r="G25" s="12">
        <f t="shared" si="5"/>
        <v>1.003085407</v>
      </c>
      <c r="H25" s="12">
        <f t="shared" si="6"/>
        <v>1.003085407</v>
      </c>
      <c r="I25" s="12">
        <f t="shared" si="7"/>
        <v>0</v>
      </c>
      <c r="J25" s="12">
        <f t="shared" si="8"/>
        <v>33.10181844</v>
      </c>
      <c r="K25" s="12">
        <f t="shared" si="9"/>
        <v>0</v>
      </c>
      <c r="L25" s="12">
        <f t="shared" si="10"/>
        <v>15.83688539</v>
      </c>
      <c r="M25" s="12">
        <f t="shared" si="11"/>
        <v>250.8069388</v>
      </c>
      <c r="N25" s="12">
        <f t="shared" si="12"/>
        <v>7.62366001</v>
      </c>
      <c r="O25" s="12">
        <f t="shared" si="13"/>
        <v>251.5807803</v>
      </c>
      <c r="P25" s="12">
        <f t="shared" si="14"/>
        <v>0</v>
      </c>
      <c r="Q25" s="14">
        <f t="shared" si="15"/>
        <v>0.009575819964</v>
      </c>
      <c r="R25" s="12"/>
      <c r="S25" s="12"/>
      <c r="T25" s="12"/>
      <c r="U25" s="2"/>
      <c r="V25" s="2"/>
      <c r="W25" s="2"/>
      <c r="X25" s="2"/>
      <c r="Y25" s="2"/>
      <c r="Z25" s="2"/>
      <c r="AA25" s="2"/>
      <c r="AB25" s="2"/>
    </row>
    <row r="26">
      <c r="A26" s="2"/>
      <c r="B26" s="13">
        <v>33.0</v>
      </c>
      <c r="C26" s="12"/>
      <c r="D26" s="12">
        <f t="shared" ref="D26:E26" si="16">SUM(D15:D25)</f>
        <v>409.08654</v>
      </c>
      <c r="E26" s="12">
        <f t="shared" si="16"/>
        <v>295.087005</v>
      </c>
      <c r="F26" s="12"/>
      <c r="G26" s="15"/>
      <c r="H26" s="12">
        <f t="shared" ref="H26:K26" si="17">SUM(H15:H25)</f>
        <v>7.176986117</v>
      </c>
      <c r="I26" s="12">
        <f t="shared" si="17"/>
        <v>5.176986117</v>
      </c>
      <c r="J26" s="12">
        <f t="shared" si="17"/>
        <v>157.4072418</v>
      </c>
      <c r="K26" s="12">
        <f t="shared" si="17"/>
        <v>123.0810126</v>
      </c>
      <c r="L26" s="12"/>
      <c r="M26" s="12"/>
      <c r="N26" s="12"/>
      <c r="O26" s="12">
        <f t="shared" ref="O26:P26" si="18">SUM(O15:O25)</f>
        <v>672.8158555</v>
      </c>
      <c r="P26" s="12">
        <f t="shared" si="18"/>
        <v>510.7737855</v>
      </c>
      <c r="Q26" s="14"/>
      <c r="R26" s="12"/>
      <c r="S26" s="12"/>
      <c r="T26" s="12"/>
      <c r="U26" s="2"/>
      <c r="V26" s="2"/>
      <c r="W26" s="2"/>
      <c r="X26" s="2"/>
      <c r="Y26" s="2"/>
      <c r="Z26" s="2"/>
      <c r="AA26" s="2"/>
      <c r="AB26" s="2"/>
    </row>
    <row r="27">
      <c r="A27" s="2"/>
      <c r="B27" s="2"/>
      <c r="C27" s="15"/>
      <c r="D27" s="12">
        <f>D26-E26</f>
        <v>113.999535</v>
      </c>
      <c r="E27" s="12"/>
      <c r="F27" s="12"/>
      <c r="G27" s="15"/>
      <c r="H27" s="12">
        <f>(H26-I26)</f>
        <v>2</v>
      </c>
      <c r="I27" s="15"/>
      <c r="K27" s="12">
        <f>J26-K26</f>
        <v>34.32622923</v>
      </c>
      <c r="L27" s="12"/>
      <c r="M27" s="12"/>
      <c r="N27" s="12"/>
      <c r="P27" s="12">
        <f>O26-P26</f>
        <v>162.04207</v>
      </c>
      <c r="Q27" s="12"/>
      <c r="R27" s="12"/>
      <c r="S27" s="12"/>
      <c r="T27" s="12"/>
      <c r="U27" s="2"/>
      <c r="V27" s="2"/>
      <c r="W27" s="2"/>
      <c r="X27" s="2"/>
      <c r="Y27" s="2"/>
      <c r="Z27" s="2"/>
      <c r="AA27" s="2"/>
      <c r="AB27" s="2"/>
    </row>
    <row r="28">
      <c r="A28" s="2"/>
      <c r="B28" s="2"/>
      <c r="C28" s="10" t="s">
        <v>14</v>
      </c>
      <c r="D28" s="10">
        <f>D27/2</f>
        <v>56.9997675</v>
      </c>
      <c r="E28" s="12"/>
      <c r="F28" s="12"/>
      <c r="G28" s="10" t="s">
        <v>15</v>
      </c>
      <c r="H28" s="10">
        <f>H27/2</f>
        <v>1</v>
      </c>
      <c r="I28" s="15"/>
      <c r="J28" s="10" t="s">
        <v>16</v>
      </c>
      <c r="K28" s="10">
        <f>K27/2</f>
        <v>17.16311461</v>
      </c>
      <c r="L28" s="12"/>
      <c r="M28" s="12"/>
      <c r="N28" s="12"/>
      <c r="O28" s="10" t="s">
        <v>17</v>
      </c>
      <c r="P28" s="10">
        <f>P27/2</f>
        <v>81.021035</v>
      </c>
      <c r="Q28" s="12"/>
      <c r="R28" s="12"/>
      <c r="S28" s="12"/>
      <c r="T28" s="12"/>
      <c r="U28" s="2"/>
      <c r="V28" s="2"/>
      <c r="W28" s="2"/>
      <c r="X28" s="2"/>
      <c r="Y28" s="2"/>
      <c r="Z28" s="2"/>
      <c r="AA28" s="2"/>
      <c r="AB28" s="2"/>
    </row>
    <row r="29">
      <c r="A29" s="2"/>
      <c r="B29" s="2"/>
      <c r="C29" s="12"/>
      <c r="D29" s="12"/>
      <c r="E29" s="12"/>
      <c r="F29" s="12"/>
      <c r="G29" s="15"/>
      <c r="H29" s="15"/>
      <c r="I29" s="15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2"/>
      <c r="V29" s="2"/>
      <c r="W29" s="2"/>
      <c r="X29" s="2"/>
      <c r="Y29" s="2"/>
      <c r="Z29" s="2"/>
      <c r="AA29" s="2"/>
      <c r="AB29" s="2"/>
    </row>
    <row r="30">
      <c r="A30" s="2"/>
      <c r="B30" s="2"/>
      <c r="C30" s="12"/>
      <c r="D30" s="12"/>
      <c r="E30" s="12"/>
      <c r="F30" s="12"/>
      <c r="G30" s="15"/>
      <c r="H30" s="15"/>
      <c r="I30" s="15"/>
      <c r="J30" s="9" t="s">
        <v>18</v>
      </c>
      <c r="K30" s="10">
        <f>K28</f>
        <v>17.16311461</v>
      </c>
      <c r="L30" s="12"/>
      <c r="M30" s="12"/>
      <c r="N30" s="12"/>
      <c r="O30" s="10" t="s">
        <v>19</v>
      </c>
      <c r="P30" s="10">
        <f>P28</f>
        <v>81.021035</v>
      </c>
      <c r="Q30" s="12"/>
      <c r="R30" s="12"/>
      <c r="S30" s="12"/>
      <c r="T30" s="12"/>
      <c r="U30" s="2"/>
      <c r="V30" s="2"/>
      <c r="W30" s="2"/>
      <c r="X30" s="2"/>
      <c r="Y30" s="2"/>
      <c r="Z30" s="2"/>
      <c r="AA30" s="2"/>
      <c r="AB30" s="2"/>
    </row>
    <row r="31">
      <c r="A31" s="2"/>
      <c r="B31" s="2"/>
      <c r="C31" s="12"/>
      <c r="D31" s="12"/>
      <c r="E31" s="12"/>
      <c r="F31" s="12"/>
      <c r="G31" s="15"/>
      <c r="H31" s="15"/>
      <c r="I31" s="15"/>
      <c r="J31" s="12"/>
      <c r="K31" s="12"/>
      <c r="L31" s="12"/>
      <c r="M31" s="12"/>
      <c r="N31" s="12"/>
      <c r="O31" s="10" t="s">
        <v>20</v>
      </c>
      <c r="P31" s="10">
        <f>SQRT(P30)</f>
        <v>9.001168535</v>
      </c>
      <c r="Q31" s="12"/>
      <c r="R31" s="12"/>
      <c r="S31" s="12"/>
      <c r="T31" s="12"/>
      <c r="U31" s="2"/>
      <c r="V31" s="2"/>
      <c r="W31" s="2"/>
      <c r="X31" s="2"/>
      <c r="Y31" s="2"/>
      <c r="Z31" s="2"/>
      <c r="AA31" s="2"/>
      <c r="AB31" s="2"/>
    </row>
    <row r="32">
      <c r="A32" s="2"/>
      <c r="B32" s="2"/>
      <c r="C32" s="12"/>
      <c r="D32" s="12"/>
      <c r="E32" s="12"/>
      <c r="F32" s="12"/>
      <c r="G32" s="15"/>
      <c r="H32" s="15"/>
      <c r="I32" s="15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2"/>
      <c r="V32" s="2"/>
      <c r="W32" s="2"/>
      <c r="X32" s="2"/>
      <c r="Y32" s="2"/>
      <c r="Z32" s="2"/>
      <c r="AA32" s="2"/>
      <c r="AB32" s="2"/>
    </row>
    <row r="33">
      <c r="A33" s="2"/>
      <c r="B33" s="2"/>
      <c r="C33" s="12"/>
      <c r="D33" s="12"/>
      <c r="E33" s="12"/>
      <c r="F33" s="12"/>
      <c r="G33" s="12"/>
      <c r="H33" s="12"/>
      <c r="I33" s="15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2"/>
      <c r="V33" s="2"/>
      <c r="W33" s="2"/>
      <c r="X33" s="2"/>
      <c r="Y33" s="2"/>
      <c r="Z33" s="2"/>
      <c r="AA33" s="2"/>
      <c r="AB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</row>
    <row r="35">
      <c r="A35" s="16" t="s">
        <v>21</v>
      </c>
      <c r="B35" s="17" t="s">
        <v>22</v>
      </c>
      <c r="C35" s="17" t="s">
        <v>23</v>
      </c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</row>
    <row r="36">
      <c r="A36" s="18" t="s">
        <v>24</v>
      </c>
      <c r="B36" s="19">
        <v>27.0</v>
      </c>
      <c r="C36" s="19" t="s">
        <v>25</v>
      </c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</row>
    <row r="37">
      <c r="A37" s="18" t="s">
        <v>26</v>
      </c>
      <c r="B37" s="20">
        <v>1400.0</v>
      </c>
      <c r="C37" s="19" t="s">
        <v>27</v>
      </c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</row>
    <row r="38">
      <c r="A38" s="18" t="s">
        <v>28</v>
      </c>
      <c r="B38" s="20">
        <v>1.0</v>
      </c>
      <c r="C38" s="20" t="s">
        <v>29</v>
      </c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</row>
    <row r="39">
      <c r="A39" s="18" t="s">
        <v>30</v>
      </c>
      <c r="B39" s="19">
        <f>B37/B38</f>
        <v>1400</v>
      </c>
      <c r="C39" s="20" t="s">
        <v>31</v>
      </c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</row>
    <row r="40"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</row>
    <row r="1003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  <c r="AA1003" s="2"/>
      <c r="AB1003" s="2"/>
    </row>
  </sheetData>
  <mergeCells count="5">
    <mergeCell ref="D14:E14"/>
    <mergeCell ref="H14:I14"/>
    <mergeCell ref="J14:K14"/>
    <mergeCell ref="O14:P14"/>
    <mergeCell ref="S14:T14"/>
  </mergeCells>
  <drawing r:id="rId1"/>
</worksheet>
</file>