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<sst xmlns="http://schemas.openxmlformats.org/spreadsheetml/2006/main" count="36" uniqueCount="27">
  <si>
    <t>Molecular weight of napthalene</t>
  </si>
  <si>
    <t>g</t>
  </si>
  <si>
    <t>Pressure(kPa)</t>
  </si>
  <si>
    <t>N/m^2</t>
  </si>
  <si>
    <t>Time (min)</t>
  </si>
  <si>
    <t>Mass (g)</t>
  </si>
  <si>
    <t>∆ M (g)</t>
  </si>
  <si>
    <t>t = 0 min</t>
  </si>
  <si>
    <t>t = 30 min</t>
  </si>
  <si>
    <t>t = 60 min</t>
  </si>
  <si>
    <t>t = 90 min</t>
  </si>
  <si>
    <t>t = 120 min</t>
  </si>
  <si>
    <t>Naphthalene ball number
 (from top to bottom)</t>
  </si>
  <si>
    <t>Height of ball
 (mm)</t>
  </si>
  <si>
    <t>Diameter of ball
 (mm)</t>
  </si>
  <si>
    <t>(One naphthalene ball was broken at the time of the experiment so we had 9 balls only)</t>
  </si>
  <si>
    <t>Average</t>
  </si>
  <si>
    <t>Weight of Napthalene Balls (g)</t>
  </si>
  <si>
    <t>Average Height
 of ball (mm)</t>
  </si>
  <si>
    <t>Average diameter
 of ball (mm)</t>
  </si>
  <si>
    <t>Average
 Surface area (mm^2)</t>
  </si>
  <si>
    <t>Average
 Surface area (m^2)</t>
  </si>
  <si>
    <t>Weight loss (∆ M) (g)</t>
  </si>
  <si>
    <t xml:space="preserve">Amount of napthalene lost (∆ N) (mol) </t>
  </si>
  <si>
    <t>Flux                  (mol/m^2 . s )</t>
  </si>
  <si>
    <t>Mass transfer Coefficient (mol/Pa.m^2.s)</t>
  </si>
  <si>
    <t>Average mass transfer Coefficient (mol/Pa.m^2.s)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</si>
</sst>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E+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/>
    <font>
      <b/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3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left" readingOrder="0" shrinkToFit="0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vertical="bottom"/>
    </xf>
    <xf borderId="1" fillId="0" fontId="3" numFmtId="2" xfId="0" applyAlignment="1" applyBorder="1" applyFont="1" applyNumberForma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2" fillId="0" fontId="2" numFmtId="0" xfId="0" applyAlignment="1" applyBorder="1" applyFont="1">
      <alignment horizontal="center" shrinkToFit="0" vertical="bottom" wrapText="1"/>
    </xf>
    <xf borderId="3" fillId="0" fontId="3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horizontal="center" shrinkToFit="0" vertical="bottom" wrapText="1"/>
    </xf>
    <xf borderId="5" fillId="0" fontId="2" numFmtId="2" xfId="0" applyAlignment="1" applyBorder="1" applyFont="1" applyNumberFormat="1">
      <alignment horizontal="center" shrinkToFit="0" vertical="bottom" wrapText="1"/>
    </xf>
    <xf borderId="1" fillId="0" fontId="2" numFmtId="11" xfId="0" applyAlignment="1" applyBorder="1" applyFont="1" applyNumberFormat="1">
      <alignment horizontal="center" shrinkToFit="0" vertical="bottom" wrapText="1"/>
    </xf>
    <xf borderId="1" fillId="0" fontId="2" numFmtId="49" xfId="0" applyAlignment="1" applyBorder="1" applyFont="1" applyNumberFormat="1">
      <alignment horizontal="center" shrinkToFit="0" vertical="bottom" wrapText="1"/>
    </xf>
    <xf borderId="6" fillId="0" fontId="4" numFmtId="0" xfId="0" applyBorder="1" applyFont="1"/>
    <xf borderId="1" fillId="0" fontId="2" numFmtId="164" xfId="0" applyAlignment="1" applyBorder="1" applyFont="1" applyNumberFormat="1">
      <alignment horizontal="right" shrinkToFit="0" vertical="bottom" wrapText="1"/>
    </xf>
    <xf borderId="0" fillId="0" fontId="1" numFmtId="49" xfId="0" applyAlignment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Mass transfer Coefficient (mol/Pa.m^2.s) vs. Time (min)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Sheet1!$B$35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Sheet1!$A$36:$A$40</c:f>
            </c:strRef>
          </c:cat>
          <c:val>
            <c:numRef>
              <c:f>Sheet1!$B$36:$B$40</c:f>
              <c:numCache/>
            </c:numRef>
          </c:val>
          <c:smooth val="0"/>
        </c:ser>
        <c:axId val="18836992"/>
        <c:axId val="492467157"/>
      </c:lineChart>
      <c:catAx>
        <c:axId val="18836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2467157"/>
      </c:catAx>
      <c:valAx>
        <c:axId val="492467157"/>
        <c:scaling>
          <c:orientation val="minMax"/>
          <c:min val="-1.0E-5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Mass transfer Coefficient (mol/Pa.m^2.s)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369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Surface area (m^2) vs time (min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Sheet1!$E$26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Sheet1!$A$27:$A$31</c:f>
            </c:strRef>
          </c:cat>
          <c:val>
            <c:numRef>
              <c:f>Sheet1!$E$27:$E$31</c:f>
              <c:numCache/>
            </c:numRef>
          </c:val>
          <c:smooth val="0"/>
        </c:ser>
        <c:axId val="1624099642"/>
        <c:axId val="278172310"/>
      </c:lineChart>
      <c:catAx>
        <c:axId val="1624099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172310"/>
      </c:catAx>
      <c:valAx>
        <c:axId val="278172310"/>
        <c:scaling>
          <c:orientation val="minMax"/>
          <c:min val="0.013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Surface area (m^2)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40996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Mass of Naphthalene balls (g) vs. Time (min)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Sheet1!$A$6:$A$10</c:f>
            </c:strRef>
          </c:cat>
          <c:val>
            <c:numRef>
              <c:f>Sheet1!$B$6:$B$10</c:f>
              <c:numCache/>
            </c:numRef>
          </c:val>
          <c:smooth val="0"/>
        </c:ser>
        <c:axId val="676136517"/>
        <c:axId val="50237286"/>
      </c:lineChart>
      <c:catAx>
        <c:axId val="676136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(min)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37286"/>
      </c:catAx>
      <c:valAx>
        <c:axId val="50237286"/>
        <c:scaling>
          <c:orientation val="minMax"/>
          <c:min val="40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Mass of Naphthalene balls (g)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1365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</xdr:colOff>
      <xdr:row>34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1123950</xdr:colOff>
      <xdr:row>34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1162050</xdr:colOff>
      <xdr:row>34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5.38"/>
    <col customWidth="1" min="7" max="7" width="19.13"/>
    <col customWidth="1" min="8" max="26" width="1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>
        <v>128.1705</v>
      </c>
      <c r="C2" s="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2</v>
      </c>
      <c r="B3" s="3">
        <v>11.71416182</v>
      </c>
      <c r="C3" s="3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4</v>
      </c>
      <c r="B5" s="4" t="s">
        <v>5</v>
      </c>
      <c r="C5" s="4" t="s">
        <v>6</v>
      </c>
      <c r="D5" s="2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>
        <v>0.0</v>
      </c>
      <c r="B6" s="4">
        <v>46.04</v>
      </c>
      <c r="C6" s="5">
        <f>0</f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>
        <f t="shared" ref="A7:A9" si="1">A6+30</f>
        <v>30</v>
      </c>
      <c r="B7" s="4">
        <v>44.6</v>
      </c>
      <c r="C7" s="5">
        <f t="shared" ref="C7:C10" si="2">B6-B7</f>
        <v>1.44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>
        <f t="shared" si="1"/>
        <v>60</v>
      </c>
      <c r="B8" s="4">
        <v>43.44</v>
      </c>
      <c r="C8" s="5">
        <f t="shared" si="2"/>
        <v>1.16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>
        <f t="shared" si="1"/>
        <v>90</v>
      </c>
      <c r="B9" s="4">
        <v>42.25</v>
      </c>
      <c r="C9" s="5">
        <f t="shared" si="2"/>
        <v>1.19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">
        <v>120.0</v>
      </c>
      <c r="B10" s="6">
        <v>40.55</v>
      </c>
      <c r="C10" s="5">
        <f t="shared" si="2"/>
        <v>1.7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"/>
      <c r="B12" s="8" t="s">
        <v>7</v>
      </c>
      <c r="C12" s="9"/>
      <c r="D12" s="8" t="s">
        <v>8</v>
      </c>
      <c r="E12" s="9"/>
      <c r="F12" s="8" t="s">
        <v>9</v>
      </c>
      <c r="G12" s="9"/>
      <c r="H12" s="8" t="s">
        <v>10</v>
      </c>
      <c r="I12" s="9"/>
      <c r="J12" s="8" t="s">
        <v>11</v>
      </c>
      <c r="K12" s="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" t="s">
        <v>12</v>
      </c>
      <c r="B13" s="10" t="s">
        <v>13</v>
      </c>
      <c r="C13" s="10" t="s">
        <v>14</v>
      </c>
      <c r="D13" s="10" t="s">
        <v>13</v>
      </c>
      <c r="E13" s="10" t="s">
        <v>14</v>
      </c>
      <c r="F13" s="10" t="s">
        <v>13</v>
      </c>
      <c r="G13" s="10" t="s">
        <v>14</v>
      </c>
      <c r="H13" s="10" t="s">
        <v>13</v>
      </c>
      <c r="I13" s="10" t="s">
        <v>14</v>
      </c>
      <c r="J13" s="10" t="s">
        <v>13</v>
      </c>
      <c r="K13" s="10" t="s">
        <v>14</v>
      </c>
      <c r="L13" s="1"/>
      <c r="M13" s="11" t="s">
        <v>15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2">
        <v>1.0</v>
      </c>
      <c r="B14" s="13">
        <v>14.74</v>
      </c>
      <c r="C14" s="13">
        <v>21.36</v>
      </c>
      <c r="D14" s="13">
        <v>14.33</v>
      </c>
      <c r="E14" s="13">
        <v>21.16</v>
      </c>
      <c r="F14" s="13">
        <v>14.21</v>
      </c>
      <c r="G14" s="13">
        <v>20.94</v>
      </c>
      <c r="H14" s="13">
        <v>14.11</v>
      </c>
      <c r="I14" s="13">
        <v>20.81</v>
      </c>
      <c r="J14" s="14">
        <v>13.91</v>
      </c>
      <c r="K14" s="14">
        <v>20.71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2">
        <v>2.0</v>
      </c>
      <c r="B15" s="13">
        <v>14.61</v>
      </c>
      <c r="C15" s="13">
        <v>21.2</v>
      </c>
      <c r="D15" s="13">
        <v>14.24</v>
      </c>
      <c r="E15" s="13">
        <v>21.09</v>
      </c>
      <c r="F15" s="13">
        <v>14.13</v>
      </c>
      <c r="G15" s="13">
        <v>20.73</v>
      </c>
      <c r="H15" s="13">
        <v>14.05</v>
      </c>
      <c r="I15" s="13">
        <v>20.69</v>
      </c>
      <c r="J15" s="14">
        <v>13.93</v>
      </c>
      <c r="K15" s="14">
        <v>20.62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2">
        <v>3.0</v>
      </c>
      <c r="B16" s="13">
        <v>14.46</v>
      </c>
      <c r="C16" s="13">
        <v>21.31</v>
      </c>
      <c r="D16" s="13">
        <v>14.24</v>
      </c>
      <c r="E16" s="13">
        <v>21.12</v>
      </c>
      <c r="F16" s="13">
        <v>14.02</v>
      </c>
      <c r="G16" s="13">
        <v>20.67</v>
      </c>
      <c r="H16" s="13">
        <v>13.95</v>
      </c>
      <c r="I16" s="13">
        <v>20.46</v>
      </c>
      <c r="J16" s="14">
        <v>13.84</v>
      </c>
      <c r="K16" s="14">
        <v>20.19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2">
        <v>4.0</v>
      </c>
      <c r="B17" s="13">
        <v>14.71</v>
      </c>
      <c r="C17" s="13">
        <v>21.32</v>
      </c>
      <c r="D17" s="13">
        <v>14.44</v>
      </c>
      <c r="E17" s="13">
        <v>21.13</v>
      </c>
      <c r="F17" s="13">
        <v>14.21</v>
      </c>
      <c r="G17" s="13">
        <v>20.68</v>
      </c>
      <c r="H17" s="13">
        <v>14.08</v>
      </c>
      <c r="I17" s="13">
        <v>20.57</v>
      </c>
      <c r="J17" s="14">
        <v>13.92</v>
      </c>
      <c r="K17" s="14">
        <v>20.48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2">
        <v>5.0</v>
      </c>
      <c r="B18" s="13">
        <v>14.66</v>
      </c>
      <c r="C18" s="13">
        <v>21.27</v>
      </c>
      <c r="D18" s="13">
        <v>14.51</v>
      </c>
      <c r="E18" s="13">
        <v>21.05</v>
      </c>
      <c r="F18" s="13">
        <v>14.25</v>
      </c>
      <c r="G18" s="13">
        <v>20.7</v>
      </c>
      <c r="H18" s="13">
        <v>14.12</v>
      </c>
      <c r="I18" s="13">
        <v>20.51</v>
      </c>
      <c r="J18" s="14">
        <v>13.97</v>
      </c>
      <c r="K18" s="14">
        <v>20.34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2">
        <v>6.0</v>
      </c>
      <c r="B19" s="13">
        <v>14.65</v>
      </c>
      <c r="C19" s="13">
        <v>21.35</v>
      </c>
      <c r="D19" s="13">
        <v>14.35</v>
      </c>
      <c r="E19" s="13">
        <v>21.04</v>
      </c>
      <c r="F19" s="13">
        <v>13.92</v>
      </c>
      <c r="G19" s="13">
        <v>20.75</v>
      </c>
      <c r="H19" s="13">
        <v>13.91</v>
      </c>
      <c r="I19" s="13">
        <v>20.69</v>
      </c>
      <c r="J19" s="14">
        <v>13.82</v>
      </c>
      <c r="K19" s="14">
        <v>20.6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2">
        <v>7.0</v>
      </c>
      <c r="B20" s="13">
        <v>14.51</v>
      </c>
      <c r="C20" s="13">
        <v>21.23</v>
      </c>
      <c r="D20" s="13">
        <v>14.44</v>
      </c>
      <c r="E20" s="13">
        <v>21.0</v>
      </c>
      <c r="F20" s="13">
        <v>13.9</v>
      </c>
      <c r="G20" s="13">
        <v>20.62</v>
      </c>
      <c r="H20" s="13">
        <v>13.68</v>
      </c>
      <c r="I20" s="13">
        <v>20.39</v>
      </c>
      <c r="J20" s="14">
        <v>13.56</v>
      </c>
      <c r="K20" s="14">
        <v>20.11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2">
        <v>8.0</v>
      </c>
      <c r="B21" s="13">
        <v>14.86</v>
      </c>
      <c r="C21" s="13">
        <v>21.38</v>
      </c>
      <c r="D21" s="13">
        <v>14.52</v>
      </c>
      <c r="E21" s="13">
        <v>21.03</v>
      </c>
      <c r="F21" s="13">
        <v>14.18</v>
      </c>
      <c r="G21" s="13">
        <v>20.95</v>
      </c>
      <c r="H21" s="13">
        <v>13.99</v>
      </c>
      <c r="I21" s="13">
        <v>20.88</v>
      </c>
      <c r="J21" s="14">
        <v>13.79</v>
      </c>
      <c r="K21" s="14">
        <v>20.77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2">
        <v>9.0</v>
      </c>
      <c r="B22" s="13">
        <v>14.58</v>
      </c>
      <c r="C22" s="13">
        <v>21.32</v>
      </c>
      <c r="D22" s="13">
        <v>14.4</v>
      </c>
      <c r="E22" s="13">
        <v>21.01</v>
      </c>
      <c r="F22" s="13">
        <v>14.21</v>
      </c>
      <c r="G22" s="13">
        <v>20.41</v>
      </c>
      <c r="H22" s="13">
        <v>13.92</v>
      </c>
      <c r="I22" s="13">
        <v>20.21</v>
      </c>
      <c r="J22" s="14">
        <v>13.85</v>
      </c>
      <c r="K22" s="14">
        <v>20.02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0" t="s">
        <v>16</v>
      </c>
      <c r="B23" s="15">
        <f t="shared" ref="B23:K23" si="3">AVERAGE(B14:B22)</f>
        <v>14.64222222</v>
      </c>
      <c r="C23" s="15">
        <f t="shared" si="3"/>
        <v>21.30444444</v>
      </c>
      <c r="D23" s="15">
        <f t="shared" si="3"/>
        <v>14.38555556</v>
      </c>
      <c r="E23" s="15">
        <f t="shared" si="3"/>
        <v>21.07</v>
      </c>
      <c r="F23" s="15">
        <f t="shared" si="3"/>
        <v>14.11444444</v>
      </c>
      <c r="G23" s="15">
        <f t="shared" si="3"/>
        <v>20.71666667</v>
      </c>
      <c r="H23" s="15">
        <f t="shared" si="3"/>
        <v>13.97888889</v>
      </c>
      <c r="I23" s="15">
        <f t="shared" si="3"/>
        <v>20.57888889</v>
      </c>
      <c r="J23" s="15">
        <f t="shared" si="3"/>
        <v>13.84333333</v>
      </c>
      <c r="K23" s="15">
        <f t="shared" si="3"/>
        <v>20.42666667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6" t="s">
        <v>17</v>
      </c>
      <c r="B24" s="17">
        <f>B6</f>
        <v>46.04</v>
      </c>
      <c r="C24" s="9"/>
      <c r="D24" s="17">
        <f>B7</f>
        <v>44.6</v>
      </c>
      <c r="E24" s="9"/>
      <c r="F24" s="17">
        <f>B8</f>
        <v>43.44</v>
      </c>
      <c r="G24" s="9"/>
      <c r="H24" s="17">
        <f>B9</f>
        <v>42.25</v>
      </c>
      <c r="I24" s="9"/>
      <c r="J24" s="17">
        <f>B10</f>
        <v>40.55</v>
      </c>
      <c r="K24" s="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0" t="s">
        <v>4</v>
      </c>
      <c r="B26" s="18" t="s">
        <v>18</v>
      </c>
      <c r="C26" s="18" t="s">
        <v>19</v>
      </c>
      <c r="D26" s="18" t="s">
        <v>20</v>
      </c>
      <c r="E26" s="10" t="s">
        <v>21</v>
      </c>
      <c r="F26" s="19" t="s">
        <v>22</v>
      </c>
      <c r="G26" s="19" t="s">
        <v>23</v>
      </c>
      <c r="H26" s="10" t="s">
        <v>24</v>
      </c>
      <c r="I26" s="10" t="s">
        <v>25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0">
        <v>0.0</v>
      </c>
      <c r="B27" s="21">
        <f t="shared" ref="B27:C27" si="4">B23</f>
        <v>14.64222222</v>
      </c>
      <c r="C27" s="21">
        <f t="shared" si="4"/>
        <v>21.30444444</v>
      </c>
      <c r="D27" s="21">
        <f t="shared" ref="D27:D31" si="6"> ((3.14*C27*B27) + (3.14*(C27^2)/2))*9</f>
        <v>15228.86428</v>
      </c>
      <c r="E27" s="22">
        <f t="shared" ref="E27:E31" si="7">D27*10^-6</f>
        <v>0.01522886428</v>
      </c>
      <c r="F27" s="5">
        <f>B6-B6</f>
        <v>0</v>
      </c>
      <c r="G27" s="5">
        <f t="shared" ref="G27:G31" si="8">F27/$B$2</f>
        <v>0</v>
      </c>
      <c r="H27" s="23">
        <f t="shared" ref="H27:H31" si="9">(G27/(30*60*E27))</f>
        <v>0</v>
      </c>
      <c r="I27" s="23">
        <f t="shared" ref="I27:I31" si="10">H27/$B$3</f>
        <v>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0">
        <v>30.0</v>
      </c>
      <c r="B28" s="21">
        <f t="shared" ref="B28:C28" si="5">D23</f>
        <v>14.38555556</v>
      </c>
      <c r="C28" s="21">
        <f t="shared" si="5"/>
        <v>21.07</v>
      </c>
      <c r="D28" s="21">
        <f t="shared" si="6"/>
        <v>14838.65074</v>
      </c>
      <c r="E28" s="22">
        <f t="shared" si="7"/>
        <v>0.01483865074</v>
      </c>
      <c r="F28" s="5">
        <f t="shared" ref="F28:F31" si="12">B6-B7</f>
        <v>1.44</v>
      </c>
      <c r="G28" s="5">
        <f t="shared" si="8"/>
        <v>0.01123503458</v>
      </c>
      <c r="H28" s="22">
        <f t="shared" si="9"/>
        <v>0.0004206370234</v>
      </c>
      <c r="I28" s="23">
        <f t="shared" si="10"/>
        <v>0.00003590841836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0">
        <v>60.0</v>
      </c>
      <c r="B29" s="21">
        <f t="shared" ref="B29:C29" si="11">F23</f>
        <v>14.11444444</v>
      </c>
      <c r="C29" s="21">
        <f t="shared" si="11"/>
        <v>20.71666667</v>
      </c>
      <c r="D29" s="21">
        <f t="shared" si="6"/>
        <v>14327.66117</v>
      </c>
      <c r="E29" s="22">
        <f t="shared" si="7"/>
        <v>0.01432766117</v>
      </c>
      <c r="F29" s="5">
        <f t="shared" si="12"/>
        <v>1.16</v>
      </c>
      <c r="G29" s="5">
        <f t="shared" si="8"/>
        <v>0.009050444525</v>
      </c>
      <c r="H29" s="22">
        <f t="shared" si="9"/>
        <v>0.0003509312984</v>
      </c>
      <c r="I29" s="23">
        <f t="shared" si="10"/>
        <v>0.0000299578667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0">
        <v>90.0</v>
      </c>
      <c r="B30" s="21">
        <f t="shared" ref="B30:C30" si="13">H23</f>
        <v>13.97888889</v>
      </c>
      <c r="C30" s="21">
        <f t="shared" si="13"/>
        <v>20.57888889</v>
      </c>
      <c r="D30" s="21">
        <f t="shared" si="6"/>
        <v>14113.47737</v>
      </c>
      <c r="E30" s="22">
        <f t="shared" si="7"/>
        <v>0.01411347737</v>
      </c>
      <c r="F30" s="5">
        <f t="shared" si="12"/>
        <v>1.19</v>
      </c>
      <c r="G30" s="5">
        <f t="shared" si="8"/>
        <v>0.009284507746</v>
      </c>
      <c r="H30" s="22">
        <f t="shared" si="9"/>
        <v>0.0003654705161</v>
      </c>
      <c r="I30" s="23">
        <f t="shared" si="10"/>
        <v>0.00003119903256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0">
        <v>120.0</v>
      </c>
      <c r="B31" s="21">
        <f t="shared" ref="B31:C31" si="14">J23</f>
        <v>13.84333333</v>
      </c>
      <c r="C31" s="21">
        <f t="shared" si="14"/>
        <v>20.42666667</v>
      </c>
      <c r="D31" s="21">
        <f t="shared" si="6"/>
        <v>13886.89366</v>
      </c>
      <c r="E31" s="22">
        <f t="shared" si="7"/>
        <v>0.01388689366</v>
      </c>
      <c r="F31" s="5">
        <f t="shared" si="12"/>
        <v>1.7</v>
      </c>
      <c r="G31" s="5">
        <f t="shared" si="8"/>
        <v>0.01326358249</v>
      </c>
      <c r="H31" s="22">
        <f t="shared" si="9"/>
        <v>0.0005306195265</v>
      </c>
      <c r="I31" s="23">
        <f t="shared" si="10"/>
        <v>0.00004529726793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8" t="s">
        <v>26</v>
      </c>
      <c r="B33" s="24"/>
      <c r="C33" s="24"/>
      <c r="D33" s="9"/>
      <c r="E33" s="25">
        <f>AVERAGE(I27:I31)</f>
        <v>0.00002847251711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tr">
        <f t="shared" ref="A35:A40" si="15">A26</f>
        <v>Time (min)</v>
      </c>
      <c r="B35" s="1" t="str">
        <f t="shared" ref="B35:B40" si="16">I26</f>
        <v>Mass transfer Coefficient (mol/Pa.m^2.s)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>
        <f t="shared" si="15"/>
        <v>0</v>
      </c>
      <c r="B36" s="26">
        <f t="shared" si="16"/>
        <v>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>
        <f t="shared" si="15"/>
        <v>30</v>
      </c>
      <c r="B37" s="26">
        <f t="shared" si="16"/>
        <v>0.00003590841836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>
        <f t="shared" si="15"/>
        <v>60</v>
      </c>
      <c r="B38" s="26">
        <f t="shared" si="16"/>
        <v>0.0000299578667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>
        <f t="shared" si="15"/>
        <v>90</v>
      </c>
      <c r="B39" s="26">
        <f t="shared" si="16"/>
        <v>0.00003119903256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>
        <f t="shared" si="15"/>
        <v>120</v>
      </c>
      <c r="B40" s="26">
        <f t="shared" si="16"/>
        <v>0.00004529726793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1">
    <mergeCell ref="F24:G24"/>
    <mergeCell ref="H24:I24"/>
    <mergeCell ref="A33:D33"/>
    <mergeCell ref="B12:C12"/>
    <mergeCell ref="D12:E12"/>
    <mergeCell ref="F12:G12"/>
    <mergeCell ref="H12:I12"/>
    <mergeCell ref="J12:K12"/>
    <mergeCell ref="B24:C24"/>
    <mergeCell ref="D24:E24"/>
    <mergeCell ref="J24:K24"/>
  </mergeCells>
  <drawing r:id="rId1"/>
</worksheet>
</file>