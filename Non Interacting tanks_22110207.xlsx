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<sst xmlns="http://schemas.openxmlformats.org/spreadsheetml/2006/main" count="30" uniqueCount="26">
  <si>
    <t>S. no.</t>
  </si>
  <si>
    <t>Time (s)</t>
  </si>
  <si>
    <t>Observed height of 1st Tank (cm)</t>
  </si>
  <si>
    <t>Theoretical height of 1st Tank (cm)</t>
  </si>
  <si>
    <t>Observed height of 2nd Tank (cm)</t>
  </si>
  <si>
    <t>Theoretical height of 2nd Tank (cm)</t>
  </si>
  <si>
    <t>Flow Rate (ml/s)</t>
  </si>
  <si>
    <t>A (step input)(cm3/s)</t>
  </si>
  <si>
    <t>q_steady</t>
  </si>
  <si>
    <t>1 ml = 1cm3</t>
  </si>
  <si>
    <t>q_final</t>
  </si>
  <si>
    <t>Value</t>
  </si>
  <si>
    <t>unit</t>
  </si>
  <si>
    <t>A1 (cm^2)</t>
  </si>
  <si>
    <t>cm2</t>
  </si>
  <si>
    <t>A2 (cm^2)</t>
  </si>
  <si>
    <t>R1 ( s/cm^2)</t>
  </si>
  <si>
    <t>s/cm2</t>
  </si>
  <si>
    <t>R2 ( s/cm^2)</t>
  </si>
  <si>
    <t>τ1 (s)</t>
  </si>
  <si>
    <t>s</t>
  </si>
  <si>
    <t>τ2 (s)</t>
  </si>
  <si>
    <t>τ</t>
  </si>
  <si>
    <t>damping factor</t>
  </si>
  <si>
    <t>1 is for tank 1</t>
  </si>
  <si>
    <t>2 is for tank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</si>
</sst>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shrinkToFit="0" vertical="center" wrapText="1"/>
    </xf>
    <xf borderId="0" fillId="0" fontId="2" numFmtId="2" xfId="0" applyAlignment="1" applyFont="1" applyNumberFormat="1">
      <alignment horizontal="center" vertical="center"/>
    </xf>
    <xf borderId="2" fillId="0" fontId="1" numFmtId="2" xfId="0" applyAlignment="1" applyBorder="1" applyFont="1" applyNumberFormat="1">
      <alignment horizontal="center" vertical="center"/>
    </xf>
    <xf borderId="3" fillId="0" fontId="3" numFmtId="0" xfId="0" applyBorder="1" applyFont="1"/>
    <xf borderId="1" fillId="0" fontId="2" numFmtId="2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readingOrder="0" vertical="center"/>
    </xf>
    <xf borderId="1" fillId="0" fontId="1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readingOrder="0" vertical="center"/>
    </xf>
    <xf borderId="4" fillId="0" fontId="1" numFmtId="2" xfId="0" applyAlignment="1" applyBorder="1" applyFont="1" applyNumberFormat="1">
      <alignment horizontal="center" vertical="center"/>
    </xf>
    <xf borderId="5" fillId="0" fontId="2" numFmtId="2" xfId="0" applyAlignment="1" applyBorder="1" applyFont="1" applyNumberFormat="1">
      <alignment horizontal="center" vertical="center"/>
    </xf>
    <xf borderId="6" fillId="0" fontId="2" numFmtId="2" xfId="0" applyAlignment="1" applyBorder="1" applyFont="1" applyNumberFormat="1">
      <alignment horizontal="center" vertical="center"/>
    </xf>
    <xf borderId="7" fillId="0" fontId="2" numFmtId="2" xfId="0" applyAlignment="1" applyBorder="1" applyFont="1" applyNumberFormat="1">
      <alignment horizontal="center" vertical="center"/>
    </xf>
    <xf borderId="7" fillId="0" fontId="1" numFmtId="2" xfId="0" applyAlignment="1" applyBorder="1" applyFont="1" applyNumberFormat="1">
      <alignment horizontal="center" readingOrder="0" vertical="center"/>
    </xf>
    <xf borderId="0" fillId="3" fontId="2" numFmtId="2" xfId="0" applyAlignment="1" applyFill="1" applyFont="1" applyNumberFormat="1">
      <alignment horizontal="center" vertical="center"/>
    </xf>
    <xf borderId="1" fillId="3" fontId="2" numFmtId="2" xfId="0" applyAlignment="1" applyBorder="1" applyFont="1" applyNumberFormat="1">
      <alignment horizontal="center" vertical="center"/>
    </xf>
    <xf borderId="1" fillId="3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Height of 1st tank (cm) vs Time (s)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Sheet1!$B$2:$B$22</c:f>
            </c:strRef>
          </c:cat>
          <c:val>
            <c:numRef>
              <c:f>Sheet1!$C$2:$C$22</c:f>
              <c:numCache/>
            </c:numRef>
          </c:val>
          <c:smooth val="1"/>
        </c:ser>
        <c:ser>
          <c:idx val="1"/>
          <c:order val="1"/>
          <c:tx>
            <c:strRef>
              <c:f>Sheet1!$D$1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Sheet1!$B$2:$B$22</c:f>
            </c:strRef>
          </c:cat>
          <c:val>
            <c:numRef>
              <c:f>Sheet1!$D$2:$D$22</c:f>
              <c:numCache/>
            </c:numRef>
          </c:val>
          <c:smooth val="1"/>
        </c:ser>
        <c:axId val="905815490"/>
        <c:axId val="604640575"/>
      </c:lineChart>
      <c:catAx>
        <c:axId val="905815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640575"/>
      </c:catAx>
      <c:valAx>
        <c:axId val="60464057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Height of 1st tank (cm)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815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Height of 2nd tank (cm) vs Time (s)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Sheet1!$B$2:$B$22</c:f>
            </c:strRef>
          </c:cat>
          <c:val>
            <c:numRef>
              <c:f>Sheet1!$E$2:$E$22</c:f>
              <c:numCache/>
            </c:numRef>
          </c:val>
          <c:smooth val="1"/>
        </c:ser>
        <c:ser>
          <c:idx val="1"/>
          <c:order val="1"/>
          <c:tx>
            <c:strRef>
              <c:f>Sheet1!$F$1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Sheet1!$B$2:$B$22</c:f>
            </c:strRef>
          </c:cat>
          <c:val>
            <c:numRef>
              <c:f>Sheet1!$F$2:$F$22</c:f>
              <c:numCache/>
            </c:numRef>
          </c:val>
          <c:smooth val="1"/>
        </c:ser>
        <c:axId val="399292451"/>
        <c:axId val="632981086"/>
      </c:lineChart>
      <c:catAx>
        <c:axId val="399292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981086"/>
      </c:catAx>
      <c:valAx>
        <c:axId val="63298108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Height of 2nd tank (cm)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292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23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647700</xdr:colOff>
      <xdr:row>22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5.38"/>
    <col customWidth="1" min="10" max="10" width="11.75"/>
    <col customWidth="1" min="11" max="11" width="19.5"/>
    <col customWidth="1" min="12" max="26" width="15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 t="s">
        <v>6</v>
      </c>
      <c r="I1" s="5"/>
      <c r="J1" s="6"/>
      <c r="K1" s="6" t="s">
        <v>7</v>
      </c>
      <c r="L1" s="6">
        <f>I2-I3</f>
        <v>4.1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>
        <v>1.0</v>
      </c>
      <c r="B2" s="6">
        <v>0.0</v>
      </c>
      <c r="C2" s="7">
        <v>17.3</v>
      </c>
      <c r="D2" s="7">
        <v>17.3</v>
      </c>
      <c r="E2" s="7">
        <v>11.8</v>
      </c>
      <c r="F2" s="7">
        <v>11.8</v>
      </c>
      <c r="G2" s="3"/>
      <c r="H2" s="8" t="s">
        <v>8</v>
      </c>
      <c r="I2" s="7">
        <f>33/5</f>
        <v>6.6</v>
      </c>
      <c r="J2" s="3"/>
      <c r="K2" s="9" t="s">
        <v>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>
        <v>2.0</v>
      </c>
      <c r="B3" s="6">
        <f t="shared" ref="B3:B22" si="1">B2+30</f>
        <v>30</v>
      </c>
      <c r="C3" s="7">
        <v>16.0</v>
      </c>
      <c r="D3" s="6">
        <f t="shared" ref="D3:D22" si="2">$D$2-(($I$2-$I$3)*$I$8)*(1-EXP(-B3/$I$10))</f>
        <v>16.1377771</v>
      </c>
      <c r="E3" s="7">
        <v>11.8</v>
      </c>
      <c r="F3" s="6">
        <f t="shared" ref="F3:F22" si="3">$F$2-(($I$2-$I$3)*$I$9)*(1-(1+(B3/$I$12))*exp(-1*(B3/$I$12)))</f>
        <v>11.73578977</v>
      </c>
      <c r="G3" s="3"/>
      <c r="H3" s="10" t="s">
        <v>10</v>
      </c>
      <c r="I3" s="7">
        <f>12.5/5</f>
        <v>2.5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>
        <v>3.0</v>
      </c>
      <c r="B4" s="6">
        <f t="shared" si="1"/>
        <v>60</v>
      </c>
      <c r="C4" s="7">
        <v>15.1</v>
      </c>
      <c r="D4" s="6">
        <f t="shared" si="2"/>
        <v>15.10124191</v>
      </c>
      <c r="E4" s="7">
        <v>11.8</v>
      </c>
      <c r="F4" s="6">
        <f t="shared" si="3"/>
        <v>11.56544431</v>
      </c>
      <c r="G4" s="3"/>
      <c r="H4" s="11"/>
      <c r="I4" s="11"/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>
        <v>4.0</v>
      </c>
      <c r="B5" s="6">
        <f t="shared" si="1"/>
        <v>90</v>
      </c>
      <c r="C5" s="7">
        <v>14.0</v>
      </c>
      <c r="D5" s="6">
        <f t="shared" si="2"/>
        <v>14.17680203</v>
      </c>
      <c r="E5" s="7">
        <v>11.5</v>
      </c>
      <c r="F5" s="6">
        <f t="shared" si="3"/>
        <v>11.31750809</v>
      </c>
      <c r="G5" s="3"/>
      <c r="H5" s="13"/>
      <c r="I5" s="14" t="s">
        <v>11</v>
      </c>
      <c r="J5" s="14" t="s">
        <v>12</v>
      </c>
      <c r="K5" s="3"/>
      <c r="L5" s="1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>
        <v>5.0</v>
      </c>
      <c r="B6" s="6">
        <f t="shared" si="1"/>
        <v>120</v>
      </c>
      <c r="C6" s="7">
        <v>13.1</v>
      </c>
      <c r="D6" s="6">
        <f t="shared" si="2"/>
        <v>13.35233501</v>
      </c>
      <c r="E6" s="7">
        <v>11.3</v>
      </c>
      <c r="F6" s="6">
        <f t="shared" si="3"/>
        <v>11.01491521</v>
      </c>
      <c r="G6" s="3"/>
      <c r="H6" s="8" t="s">
        <v>13</v>
      </c>
      <c r="I6" s="6">
        <v>100.0</v>
      </c>
      <c r="J6" s="16" t="s">
        <v>14</v>
      </c>
      <c r="K6" s="3"/>
      <c r="L6" s="1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>
        <v>6.0</v>
      </c>
      <c r="B7" s="6">
        <f t="shared" si="1"/>
        <v>150</v>
      </c>
      <c r="C7" s="7">
        <v>12.0</v>
      </c>
      <c r="D7" s="6">
        <f t="shared" si="2"/>
        <v>12.61702935</v>
      </c>
      <c r="E7" s="7">
        <v>11.1</v>
      </c>
      <c r="F7" s="6">
        <f t="shared" si="3"/>
        <v>10.67596351</v>
      </c>
      <c r="G7" s="3"/>
      <c r="H7" s="8" t="s">
        <v>15</v>
      </c>
      <c r="I7" s="6">
        <v>100.0</v>
      </c>
      <c r="J7" s="16" t="s">
        <v>14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>
        <v>7.0</v>
      </c>
      <c r="B8" s="6">
        <f t="shared" si="1"/>
        <v>180</v>
      </c>
      <c r="C8" s="7">
        <v>11.2</v>
      </c>
      <c r="D8" s="6">
        <f t="shared" si="2"/>
        <v>11.96124276</v>
      </c>
      <c r="E8" s="7">
        <v>10.8</v>
      </c>
      <c r="F8" s="6">
        <f t="shared" si="3"/>
        <v>10.31513035</v>
      </c>
      <c r="G8" s="3"/>
      <c r="H8" s="8" t="s">
        <v>16</v>
      </c>
      <c r="I8" s="6">
        <f>C2/I2</f>
        <v>2.621212121</v>
      </c>
      <c r="J8" s="6" t="s">
        <v>17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>
        <v>8.0</v>
      </c>
      <c r="B9" s="6">
        <f t="shared" si="1"/>
        <v>210</v>
      </c>
      <c r="C9" s="7">
        <v>10.4</v>
      </c>
      <c r="D9" s="6">
        <f t="shared" si="2"/>
        <v>11.37637572</v>
      </c>
      <c r="E9" s="7">
        <v>10.5</v>
      </c>
      <c r="F9" s="6">
        <f t="shared" si="3"/>
        <v>9.943755043</v>
      </c>
      <c r="G9" s="3"/>
      <c r="H9" s="8" t="s">
        <v>18</v>
      </c>
      <c r="I9" s="6">
        <f>E2/I2</f>
        <v>1.787878788</v>
      </c>
      <c r="J9" s="6" t="s">
        <v>17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>
        <v>9.0</v>
      </c>
      <c r="B10" s="6">
        <f t="shared" si="1"/>
        <v>240</v>
      </c>
      <c r="C10" s="7">
        <v>9.6</v>
      </c>
      <c r="D10" s="6">
        <f t="shared" si="2"/>
        <v>10.85475868</v>
      </c>
      <c r="E10" s="7">
        <v>10.1</v>
      </c>
      <c r="F10" s="6">
        <f t="shared" si="3"/>
        <v>9.570608577</v>
      </c>
      <c r="G10" s="3"/>
      <c r="H10" s="8" t="s">
        <v>19</v>
      </c>
      <c r="I10" s="6">
        <f t="shared" ref="I10:I11" si="4">I8*I6</f>
        <v>262.1212121</v>
      </c>
      <c r="J10" s="6" t="s">
        <v>20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>
        <v>10.0</v>
      </c>
      <c r="B11" s="6">
        <f t="shared" si="1"/>
        <v>270</v>
      </c>
      <c r="C11" s="7">
        <v>9.0</v>
      </c>
      <c r="D11" s="6">
        <f t="shared" si="2"/>
        <v>10.38955152</v>
      </c>
      <c r="E11" s="7">
        <v>9.6</v>
      </c>
      <c r="F11" s="6">
        <f t="shared" si="3"/>
        <v>9.202368419</v>
      </c>
      <c r="G11" s="3"/>
      <c r="H11" s="17" t="s">
        <v>21</v>
      </c>
      <c r="I11" s="6">
        <f t="shared" si="4"/>
        <v>178.7878788</v>
      </c>
      <c r="J11" s="6" t="s">
        <v>20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>
        <v>11.0</v>
      </c>
      <c r="B12" s="6">
        <f t="shared" si="1"/>
        <v>300</v>
      </c>
      <c r="C12" s="7">
        <v>8.4</v>
      </c>
      <c r="D12" s="6">
        <f t="shared" si="2"/>
        <v>9.974653836</v>
      </c>
      <c r="E12" s="7">
        <v>9.1</v>
      </c>
      <c r="F12" s="6">
        <f t="shared" si="3"/>
        <v>8.844013485</v>
      </c>
      <c r="G12" s="3"/>
      <c r="H12" s="17" t="s">
        <v>22</v>
      </c>
      <c r="I12" s="6">
        <f>(I10*I11)^0.5</f>
        <v>216.4811666</v>
      </c>
      <c r="J12" s="6" t="s">
        <v>20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>
        <v>12.0</v>
      </c>
      <c r="B13" s="6">
        <f t="shared" si="1"/>
        <v>330</v>
      </c>
      <c r="C13" s="7">
        <v>7.6</v>
      </c>
      <c r="D13" s="6">
        <f t="shared" si="2"/>
        <v>9.604624949</v>
      </c>
      <c r="E13" s="7">
        <v>8.6</v>
      </c>
      <c r="F13" s="6">
        <f t="shared" si="3"/>
        <v>8.499151921</v>
      </c>
      <c r="G13" s="3"/>
      <c r="H13" s="8" t="s">
        <v>23</v>
      </c>
      <c r="I13" s="6">
        <f>(I10+I11)/(2*SQRT(I10*I11))</f>
        <v>1.018354386</v>
      </c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>
        <v>13.0</v>
      </c>
      <c r="B14" s="6">
        <f t="shared" si="1"/>
        <v>360</v>
      </c>
      <c r="C14" s="7">
        <v>7.3</v>
      </c>
      <c r="D14" s="6">
        <f t="shared" si="2"/>
        <v>9.274612555</v>
      </c>
      <c r="E14" s="7">
        <v>8.1</v>
      </c>
      <c r="F14" s="6">
        <f t="shared" si="3"/>
        <v>8.170292497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>
        <v>14.0</v>
      </c>
      <c r="B15" s="6">
        <f t="shared" si="1"/>
        <v>390</v>
      </c>
      <c r="C15" s="7">
        <v>6.9</v>
      </c>
      <c r="D15" s="6">
        <f t="shared" si="2"/>
        <v>8.980289102</v>
      </c>
      <c r="E15" s="7">
        <v>7.6</v>
      </c>
      <c r="F15" s="6">
        <f t="shared" si="3"/>
        <v>7.859068721</v>
      </c>
      <c r="G15" s="3"/>
      <c r="H15" s="9" t="s">
        <v>24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>
        <v>15.0</v>
      </c>
      <c r="B16" s="6">
        <f t="shared" si="1"/>
        <v>420</v>
      </c>
      <c r="C16" s="7">
        <v>6.6</v>
      </c>
      <c r="D16" s="6">
        <f t="shared" si="2"/>
        <v>8.717795037</v>
      </c>
      <c r="E16" s="7">
        <v>7.0</v>
      </c>
      <c r="F16" s="6">
        <f t="shared" si="3"/>
        <v>7.566423356</v>
      </c>
      <c r="G16" s="3"/>
      <c r="H16" s="9" t="s">
        <v>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>
        <v>16.0</v>
      </c>
      <c r="B17" s="6">
        <f t="shared" si="1"/>
        <v>450</v>
      </c>
      <c r="C17" s="7">
        <v>6.0</v>
      </c>
      <c r="D17" s="6">
        <f t="shared" si="2"/>
        <v>8.483688193</v>
      </c>
      <c r="E17" s="7">
        <v>6.4</v>
      </c>
      <c r="F17" s="6">
        <f t="shared" si="3"/>
        <v>7.292759835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>
        <v>17.0</v>
      </c>
      <c r="B18" s="6">
        <f t="shared" si="1"/>
        <v>480</v>
      </c>
      <c r="C18" s="6">
        <v>5.5</v>
      </c>
      <c r="D18" s="6">
        <f t="shared" si="2"/>
        <v>8.274898657</v>
      </c>
      <c r="E18" s="7">
        <v>5.7</v>
      </c>
      <c r="F18" s="6">
        <f t="shared" si="3"/>
        <v>7.038066065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>
        <v>18.0</v>
      </c>
      <c r="B19" s="6">
        <f t="shared" si="1"/>
        <v>510</v>
      </c>
      <c r="C19" s="7">
        <v>5.3</v>
      </c>
      <c r="D19" s="6">
        <f t="shared" si="2"/>
        <v>8.088688507</v>
      </c>
      <c r="E19" s="7">
        <v>5.0</v>
      </c>
      <c r="F19" s="6">
        <f t="shared" si="3"/>
        <v>6.802015211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>
        <v>19.0</v>
      </c>
      <c r="B20" s="6">
        <f t="shared" si="1"/>
        <v>540</v>
      </c>
      <c r="C20" s="6">
        <v>5.0</v>
      </c>
      <c r="D20" s="6">
        <f t="shared" si="2"/>
        <v>7.922615912</v>
      </c>
      <c r="E20" s="7">
        <v>4.5</v>
      </c>
      <c r="F20" s="6">
        <f t="shared" si="3"/>
        <v>6.584047358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>
        <v>20.0</v>
      </c>
      <c r="B21" s="6">
        <f t="shared" si="1"/>
        <v>570</v>
      </c>
      <c r="C21" s="6">
        <v>4.8</v>
      </c>
      <c r="D21" s="6">
        <f t="shared" si="2"/>
        <v>7.774503113</v>
      </c>
      <c r="E21" s="7">
        <v>3.9</v>
      </c>
      <c r="F21" s="6">
        <f t="shared" si="3"/>
        <v>6.383435308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>
        <v>21.0</v>
      </c>
      <c r="B22" s="6">
        <f t="shared" si="1"/>
        <v>600</v>
      </c>
      <c r="C22" s="6">
        <v>4.5</v>
      </c>
      <c r="D22" s="6">
        <f t="shared" si="2"/>
        <v>7.642407861</v>
      </c>
      <c r="E22" s="7">
        <v>3.1</v>
      </c>
      <c r="F22" s="6">
        <f t="shared" si="3"/>
        <v>6.199337256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H1:I1"/>
  </mergeCells>
  <drawing r:id="rId1"/>
</worksheet>
</file>