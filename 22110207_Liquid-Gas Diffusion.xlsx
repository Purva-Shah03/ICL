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<sst xmlns="http://schemas.openxmlformats.org/spreadsheetml/2006/main" count="14" uniqueCount="12">
  <si>
    <t>Initial Height of Acetone in the test tube:</t>
  </si>
  <si>
    <t>cm</t>
  </si>
  <si>
    <t>Height of the test tube</t>
  </si>
  <si>
    <t>Height of the air column</t>
  </si>
  <si>
    <t>(z0)</t>
  </si>
  <si>
    <t>Time (min)</t>
  </si>
  <si>
    <t>Time (t) (s)</t>
  </si>
  <si>
    <t>Height Reading (cm)</t>
  </si>
  <si>
    <t>Air column height (cm)</t>
  </si>
  <si>
    <t>z-z0</t>
  </si>
  <si>
    <t>z+z0</t>
  </si>
  <si>
    <t>t/(z+z0)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</si>
</sst>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2.0"/>
      <color theme="1"/>
      <name val="Times New Roman"/>
    </font>
    <font>
      <b/>
      <sz val="11.0"/>
      <color theme="1"/>
      <name val="Arial"/>
    </font>
    <font>
      <b/>
      <sz val="11.0"/>
      <color theme="1"/>
      <name val="Aptos Narrow"/>
    </font>
    <font>
      <b/>
      <sz val="12.0"/>
      <color theme="1"/>
      <name val="Aptos Narrow"/>
    </font>
    <font>
      <sz val="11.0"/>
      <color theme="1"/>
      <name val="Aptos Narrow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0" fillId="2" fontId="1" numFmtId="0" xfId="0" applyAlignment="1" applyFont="1">
      <alignment horizontal="center" readingOrder="0"/>
    </xf>
    <xf borderId="0" fillId="0" fontId="2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center" shrinkToFit="0" vertical="bottom" wrapText="1"/>
    </xf>
    <xf borderId="0" fillId="0" fontId="6" numFmtId="0" xfId="0" applyAlignment="1" applyFont="1">
      <alignment horizontal="center" shrinkToFit="0" vertical="bottom" wrapText="1"/>
    </xf>
    <xf borderId="0" fillId="0" fontId="7" numFmtId="0" xfId="0" applyAlignment="1" applyFont="1">
      <alignment horizontal="center" shrinkToFit="0" vertical="bottom" wrapText="1"/>
    </xf>
    <xf borderId="0" fillId="0" fontId="8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t/(z+z0) vs z-z0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Sheet1!$G$5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Sheet1!$E$6:$E$11</c:f>
            </c:numRef>
          </c:xVal>
          <c:yVal>
            <c:numRef>
              <c:f>Sheet1!$G$6:$G$11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656531"/>
        <c:axId val="160712373"/>
      </c:scatterChart>
      <c:valAx>
        <c:axId val="478656531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z-z0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712373"/>
      </c:valAx>
      <c:valAx>
        <c:axId val="160712373"/>
        <c:scaling>
          <c:orientation val="minMax"/>
          <c:max val="1600.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t/(z+z0)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86565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504825</xdr:colOff>
      <xdr:row>0</xdr:row>
      <xdr:rowOff>142875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</cols>
  <sheetData>
    <row r="1">
      <c r="A1" s="1" t="s">
        <v>0</v>
      </c>
      <c r="B1" s="2">
        <v>8.7</v>
      </c>
      <c r="C1" s="2" t="s">
        <v>1</v>
      </c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2</v>
      </c>
      <c r="B2" s="2">
        <v>11.0</v>
      </c>
      <c r="C2" s="2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3</v>
      </c>
      <c r="B3" s="3">
        <f>B2-B1</f>
        <v>2.3</v>
      </c>
      <c r="C3" s="2" t="s">
        <v>1</v>
      </c>
      <c r="D3" s="2" t="s">
        <v>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4" t="s">
        <v>10</v>
      </c>
      <c r="G5" s="1" t="s">
        <v>11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>
        <v>0.0</v>
      </c>
      <c r="B6" s="3">
        <f t="shared" ref="B6:B11" si="1">A6*60</f>
        <v>0</v>
      </c>
      <c r="C6" s="2">
        <v>8.7</v>
      </c>
      <c r="D6" s="3">
        <f t="shared" ref="D6:D11" si="2">$B$2-C6</f>
        <v>2.3</v>
      </c>
      <c r="E6" s="3">
        <f t="shared" ref="E6:E11" si="3">D6-$B$3</f>
        <v>0</v>
      </c>
      <c r="F6" s="3">
        <f t="shared" ref="F6:F11" si="4">$B$3+D6</f>
        <v>4.6</v>
      </c>
      <c r="G6" s="3">
        <f t="shared" ref="G6:G11" si="5">B6/F6</f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>
        <v>25.0</v>
      </c>
      <c r="B7" s="3">
        <f t="shared" si="1"/>
        <v>1500</v>
      </c>
      <c r="C7" s="2">
        <v>8.6</v>
      </c>
      <c r="D7" s="3">
        <f t="shared" si="2"/>
        <v>2.4</v>
      </c>
      <c r="E7" s="3">
        <f t="shared" si="3"/>
        <v>0.1</v>
      </c>
      <c r="F7" s="3">
        <f t="shared" si="4"/>
        <v>4.7</v>
      </c>
      <c r="G7" s="3">
        <f t="shared" si="5"/>
        <v>319.1489362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>
        <v>50.0</v>
      </c>
      <c r="B8" s="3">
        <f t="shared" si="1"/>
        <v>3000</v>
      </c>
      <c r="C8" s="2">
        <v>8.5</v>
      </c>
      <c r="D8" s="3">
        <f t="shared" si="2"/>
        <v>2.5</v>
      </c>
      <c r="E8" s="3">
        <f t="shared" si="3"/>
        <v>0.2</v>
      </c>
      <c r="F8" s="3">
        <f t="shared" si="4"/>
        <v>4.8</v>
      </c>
      <c r="G8" s="3">
        <f t="shared" si="5"/>
        <v>625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>
        <v>75.0</v>
      </c>
      <c r="B9" s="3">
        <f t="shared" si="1"/>
        <v>4500</v>
      </c>
      <c r="C9" s="2">
        <v>8.4</v>
      </c>
      <c r="D9" s="3">
        <f t="shared" si="2"/>
        <v>2.6</v>
      </c>
      <c r="E9" s="3">
        <f t="shared" si="3"/>
        <v>0.3</v>
      </c>
      <c r="F9" s="3">
        <f t="shared" si="4"/>
        <v>4.9</v>
      </c>
      <c r="G9" s="3">
        <f t="shared" si="5"/>
        <v>918.3673469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>
        <v>100.0</v>
      </c>
      <c r="B10" s="3">
        <f t="shared" si="1"/>
        <v>6000</v>
      </c>
      <c r="C10" s="2">
        <v>8.3</v>
      </c>
      <c r="D10" s="3">
        <f t="shared" si="2"/>
        <v>2.7</v>
      </c>
      <c r="E10" s="3">
        <f t="shared" si="3"/>
        <v>0.4</v>
      </c>
      <c r="F10" s="3">
        <f t="shared" si="4"/>
        <v>5</v>
      </c>
      <c r="G10" s="3">
        <f t="shared" si="5"/>
        <v>1200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>
        <v>125.0</v>
      </c>
      <c r="B11" s="3">
        <f t="shared" si="1"/>
        <v>7500</v>
      </c>
      <c r="C11" s="2">
        <v>8.3</v>
      </c>
      <c r="D11" s="3">
        <f t="shared" si="2"/>
        <v>2.7</v>
      </c>
      <c r="E11" s="3">
        <f t="shared" si="3"/>
        <v>0.4</v>
      </c>
      <c r="F11" s="3">
        <f t="shared" si="4"/>
        <v>5</v>
      </c>
      <c r="G11" s="3">
        <f t="shared" si="5"/>
        <v>1500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/>
      <c r="B16" s="5"/>
      <c r="C16" s="6"/>
      <c r="D16" s="5"/>
      <c r="E16" s="5"/>
      <c r="F16" s="5"/>
      <c r="G16" s="5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/>
      <c r="B17" s="5"/>
      <c r="C17" s="5"/>
      <c r="D17" s="5"/>
      <c r="E17" s="5"/>
      <c r="F17" s="5"/>
      <c r="G17" s="5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7"/>
      <c r="B18" s="8"/>
      <c r="C18" s="8"/>
      <c r="D18" s="7"/>
      <c r="E18" s="9"/>
      <c r="F18" s="8"/>
      <c r="G18" s="8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0"/>
      <c r="B19" s="10"/>
      <c r="C19" s="10"/>
      <c r="D19" s="10"/>
      <c r="E19" s="11"/>
      <c r="F19" s="10"/>
      <c r="G19" s="1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0"/>
      <c r="B20" s="10"/>
      <c r="C20" s="10"/>
      <c r="D20" s="10"/>
      <c r="E20" s="11"/>
      <c r="F20" s="10"/>
      <c r="G20" s="1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0"/>
      <c r="B21" s="10"/>
      <c r="C21" s="10"/>
      <c r="D21" s="10"/>
      <c r="E21" s="11"/>
      <c r="F21" s="10"/>
      <c r="G21" s="1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0"/>
      <c r="B22" s="10"/>
      <c r="C22" s="10"/>
      <c r="D22" s="10"/>
      <c r="E22" s="11"/>
      <c r="F22" s="10"/>
      <c r="G22" s="1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0"/>
      <c r="B23" s="10"/>
      <c r="C23" s="10"/>
      <c r="D23" s="10"/>
      <c r="E23" s="11"/>
      <c r="F23" s="10"/>
      <c r="G23" s="1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drawing r:id="rId1"/>
</worksheet>
</file>