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<sst xmlns="http://schemas.openxmlformats.org/spreadsheetml/2006/main" count="14" uniqueCount="12">
  <si>
    <t>Time t (min.)</t>
  </si>
  <si>
    <t>Weight of tray + beans (g)</t>
  </si>
  <si>
    <t>W (Weight of beans) (g)</t>
  </si>
  <si>
    <t>Moisture content X = (W-S)/W</t>
  </si>
  <si>
    <t>- (dX/dt) (1/s)</t>
  </si>
  <si>
    <t>Drying rate Na =(S/A)* -(dX/dt)  (g/cm2 s)</t>
  </si>
  <si>
    <t>Weight of Tray</t>
  </si>
  <si>
    <t>g</t>
  </si>
  <si>
    <t>Surface Area (A)</t>
  </si>
  <si>
    <t>cm2</t>
  </si>
  <si>
    <t>Weight of Dry Beans (S)</t>
  </si>
  <si>
    <t>Weight of tray with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</si>
</sst>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Drying Rate vs Moisture content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Sheet1!$D$2:$D$12</c:f>
            </c:strRef>
          </c:cat>
          <c:val>
            <c:numRef>
              <c:f>Sheet1!$F$2:$F$12</c:f>
              <c:numCache/>
            </c:numRef>
          </c:val>
          <c:smooth val="0"/>
        </c:ser>
        <c:axId val="806853701"/>
        <c:axId val="1621228436"/>
      </c:lineChart>
      <c:catAx>
        <c:axId val="806853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Moisture content (X)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228436"/>
      </c:catAx>
      <c:valAx>
        <c:axId val="162122843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Drying rate (g/cm2 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853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14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8.75"/>
    <col customWidth="1" min="4" max="4" width="28.13"/>
    <col customWidth="1" min="5" max="5" width="18.25"/>
    <col customWidth="1" min="6" max="6" width="3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0.0</v>
      </c>
      <c r="B2" s="1">
        <v>160.0</v>
      </c>
      <c r="C2" s="1">
        <f t="shared" ref="C2:C12" si="1">B2-$C$14</f>
        <v>50</v>
      </c>
      <c r="D2" s="1">
        <f t="shared" ref="D2:D12" si="2">(C2-$C$16)/C2</f>
        <v>0.6</v>
      </c>
      <c r="E2" s="1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10.0</v>
      </c>
      <c r="B3" s="1">
        <v>159.9</v>
      </c>
      <c r="C3" s="1">
        <f t="shared" si="1"/>
        <v>49.9</v>
      </c>
      <c r="D3" s="1">
        <f t="shared" si="2"/>
        <v>0.5991983968</v>
      </c>
      <c r="E3" s="1">
        <f t="shared" ref="E3:E12" si="3">-(D3-D2)/((A3-A2)*60)</f>
        <v>0.000001336005344</v>
      </c>
      <c r="F3" s="5">
        <f t="shared" ref="F3:F12" si="4">($C$17/$C$16)*E3</f>
        <v>0.00001068804275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20.0</v>
      </c>
      <c r="B4" s="1">
        <v>159.6</v>
      </c>
      <c r="C4" s="1">
        <f t="shared" si="1"/>
        <v>49.6</v>
      </c>
      <c r="D4" s="1">
        <f t="shared" si="2"/>
        <v>0.5967741935</v>
      </c>
      <c r="E4" s="1">
        <f t="shared" si="3"/>
        <v>0.000004040338742</v>
      </c>
      <c r="F4" s="5">
        <f t="shared" si="4"/>
        <v>0.00003232270994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30.0</v>
      </c>
      <c r="B5" s="1">
        <v>159.3</v>
      </c>
      <c r="C5" s="1">
        <f t="shared" si="1"/>
        <v>49.3</v>
      </c>
      <c r="D5" s="1">
        <f t="shared" si="2"/>
        <v>0.5943204868</v>
      </c>
      <c r="E5" s="1">
        <f t="shared" si="3"/>
        <v>0.000004089511222</v>
      </c>
      <c r="F5" s="5">
        <f t="shared" si="4"/>
        <v>0.00003271608977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40.0</v>
      </c>
      <c r="B6" s="1">
        <v>159.0</v>
      </c>
      <c r="C6" s="1">
        <f t="shared" si="1"/>
        <v>49</v>
      </c>
      <c r="D6" s="1">
        <f t="shared" si="2"/>
        <v>0.5918367347</v>
      </c>
      <c r="E6" s="1">
        <f t="shared" si="3"/>
        <v>0.000004139586869</v>
      </c>
      <c r="F6" s="5">
        <f t="shared" si="4"/>
        <v>0.00003311669495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50.0</v>
      </c>
      <c r="B7" s="1">
        <v>158.7</v>
      </c>
      <c r="C7" s="1">
        <f t="shared" si="1"/>
        <v>48.7</v>
      </c>
      <c r="D7" s="1">
        <f t="shared" si="2"/>
        <v>0.5893223819</v>
      </c>
      <c r="E7" s="1">
        <f t="shared" si="3"/>
        <v>0.000004190587939</v>
      </c>
      <c r="F7" s="5">
        <f t="shared" si="4"/>
        <v>0.00003352470352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60.0</v>
      </c>
      <c r="B8" s="1">
        <v>158.4</v>
      </c>
      <c r="C8" s="1">
        <f t="shared" si="1"/>
        <v>48.4</v>
      </c>
      <c r="D8" s="1">
        <f t="shared" si="2"/>
        <v>0.5867768595</v>
      </c>
      <c r="E8" s="1">
        <f t="shared" si="3"/>
        <v>0.000004242537377</v>
      </c>
      <c r="F8" s="5">
        <f t="shared" si="4"/>
        <v>0.00003394029901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70.0</v>
      </c>
      <c r="B9" s="1">
        <v>158.2</v>
      </c>
      <c r="C9" s="1">
        <f t="shared" si="1"/>
        <v>48.2</v>
      </c>
      <c r="D9" s="1">
        <f t="shared" si="2"/>
        <v>0.5850622407</v>
      </c>
      <c r="E9" s="1">
        <f t="shared" si="3"/>
        <v>0.000002857698067</v>
      </c>
      <c r="F9" s="5">
        <f t="shared" si="4"/>
        <v>0.00002286158454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80.0</v>
      </c>
      <c r="B10" s="1">
        <v>158.0</v>
      </c>
      <c r="C10" s="1">
        <f t="shared" si="1"/>
        <v>48</v>
      </c>
      <c r="D10" s="1">
        <f t="shared" si="2"/>
        <v>0.5833333333</v>
      </c>
      <c r="E10" s="1">
        <f t="shared" si="3"/>
        <v>0.000002881512218</v>
      </c>
      <c r="F10" s="5">
        <f t="shared" si="4"/>
        <v>0.00002305209774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90.0</v>
      </c>
      <c r="B11" s="1">
        <v>157.8</v>
      </c>
      <c r="C11" s="1">
        <f t="shared" si="1"/>
        <v>47.8</v>
      </c>
      <c r="D11" s="1">
        <f t="shared" si="2"/>
        <v>0.5815899582</v>
      </c>
      <c r="E11" s="1">
        <f t="shared" si="3"/>
        <v>0.000002905625291</v>
      </c>
      <c r="F11" s="5">
        <f t="shared" si="4"/>
        <v>0.00002324500232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100.0</v>
      </c>
      <c r="B12" s="1">
        <v>157.6</v>
      </c>
      <c r="C12" s="1">
        <f t="shared" si="1"/>
        <v>47.6</v>
      </c>
      <c r="D12" s="1">
        <f t="shared" si="2"/>
        <v>0.5798319328</v>
      </c>
      <c r="E12" s="1">
        <f t="shared" si="3"/>
        <v>0.00000293004231</v>
      </c>
      <c r="F12" s="5">
        <f t="shared" si="4"/>
        <v>0.00002344033848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1"/>
      <c r="C13" s="1"/>
      <c r="D13" s="1"/>
      <c r="E13" s="1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1" t="s">
        <v>6</v>
      </c>
      <c r="C14" s="1">
        <v>110.0</v>
      </c>
      <c r="D14" s="1" t="s">
        <v>7</v>
      </c>
      <c r="E14" s="1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B15" s="2" t="s">
        <v>8</v>
      </c>
      <c r="C15" s="2">
        <v>58.0644</v>
      </c>
      <c r="D15" s="1" t="s">
        <v>9</v>
      </c>
      <c r="E15" s="1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2" t="s">
        <v>10</v>
      </c>
      <c r="C16" s="1">
        <v>20.0</v>
      </c>
      <c r="D16" s="1" t="s">
        <v>7</v>
      </c>
      <c r="E16" s="1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B17" s="1" t="s">
        <v>11</v>
      </c>
      <c r="C17" s="1">
        <v>160.0</v>
      </c>
      <c r="D17" s="1" t="s">
        <v>7</v>
      </c>
      <c r="E17" s="1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