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<sst xmlns="http://schemas.openxmlformats.org/spreadsheetml/2006/main" count="38" uniqueCount="32">
  <si>
    <t>Flowrate</t>
  </si>
  <si>
    <t>Time (s)</t>
  </si>
  <si>
    <t>Conductivity (mS)</t>
  </si>
  <si>
    <t>Normality (N)</t>
  </si>
  <si>
    <t>Conversion (Xa)</t>
  </si>
  <si>
    <t>Concentration (M)</t>
  </si>
  <si>
    <t>10 ml in 10 sec</t>
  </si>
  <si>
    <t>NaOH</t>
  </si>
  <si>
    <t>10 ml in 5 sec</t>
  </si>
  <si>
    <t>Ethyl acetate</t>
  </si>
  <si>
    <t xml:space="preserve">k </t>
  </si>
  <si>
    <t xml:space="preserve"> Litre/(mol s)</t>
  </si>
  <si>
    <t>CA0</t>
  </si>
  <si>
    <t>mol/ml</t>
  </si>
  <si>
    <t>CB0</t>
  </si>
  <si>
    <t>C0</t>
  </si>
  <si>
    <t>FA0</t>
  </si>
  <si>
    <t>mol/s</t>
  </si>
  <si>
    <t>FB0</t>
  </si>
  <si>
    <t>A: NaOH</t>
  </si>
  <si>
    <t>B: Ethyl Acetate</t>
  </si>
  <si>
    <t>Theoretical conversion</t>
  </si>
  <si>
    <t>Component</t>
  </si>
  <si>
    <t>Normality</t>
  </si>
  <si>
    <t>Amount for making 2 L normal solution</t>
  </si>
  <si>
    <t>Volumetric Flow rate (ml/sec) (V0)</t>
  </si>
  <si>
    <t>Initial Concentration (mol/ml) (C0)</t>
  </si>
  <si>
    <t>Molar Flow rate (mol/sec) (F0)</t>
  </si>
  <si>
    <t>4 grams</t>
  </si>
  <si>
    <t>Ethyl Acetate</t>
  </si>
  <si>
    <t>9.79mL</t>
  </si>
  <si>
    <t>For Ethyacetate solution - 1902.2 ml Water  + 9.79 ml ethyacetate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</si>
</sst>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6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164" xfId="0" applyAlignment="1" applyBorder="1" applyFont="1" applyNumberFormat="1">
      <alignment horizontal="center" shrinkToFit="0" wrapText="1"/>
    </xf>
    <xf borderId="1" fillId="0" fontId="3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bottom" wrapText="1"/>
    </xf>
    <xf borderId="2" fillId="0" fontId="5" numFmtId="0" xfId="0" applyAlignment="1" applyBorder="1" applyFont="1">
      <alignment horizontal="center" shrinkToFit="0" vertical="bottom" wrapText="1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readingOrder="0" shrinkToFit="0" vertical="bottom" wrapText="1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Conductivity (mS) vs. Concentration (M)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Sheet1!$A$7:$A$12</c:f>
            </c:numRef>
          </c:xVal>
          <c:yVal>
            <c:numRef>
              <c:f>Sheet1!$B$7:$B$12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805485"/>
        <c:axId val="110035028"/>
      </c:scatterChart>
      <c:valAx>
        <c:axId val="4358054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035028"/>
      </c:valAx>
      <c:valAx>
        <c:axId val="1100350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58054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Conductivity (mS) vs. Time (s)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Sheet1!$E$3:$E$24</c:f>
            </c:numRef>
          </c:xVal>
          <c:yVal>
            <c:numRef>
              <c:f>Sheet1!$F$3:$F$24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586850"/>
        <c:axId val="1065454303"/>
      </c:scatterChart>
      <c:valAx>
        <c:axId val="17675868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454303"/>
      </c:valAx>
      <c:valAx>
        <c:axId val="1065454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5868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Conversion (Xa) of NaOH vs. Time (s)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Sheet1!$E$3:$E$24</c:f>
            </c:strRef>
          </c:cat>
          <c:val>
            <c:numRef>
              <c:f>Sheet1!$H$3:$H$24</c:f>
              <c:numCache/>
            </c:numRef>
          </c:val>
          <c:smooth val="0"/>
        </c:ser>
        <c:axId val="880380986"/>
        <c:axId val="448519360"/>
      </c:lineChart>
      <c:catAx>
        <c:axId val="8803809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519360"/>
      </c:catAx>
      <c:valAx>
        <c:axId val="448519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Conversion (Xa)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03809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Concentration (M) of NaOH vs Time (s)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lineChart>
        <c:varyColors val="0"/>
        <c:ser>
          <c:idx val="0"/>
          <c:order val="0"/>
          <c:tx>
            <c:strRef>
              <c:f>Sheet1!$I$2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Sheet1!$E$3:$E$24</c:f>
            </c:strRef>
          </c:cat>
          <c:val>
            <c:numRef>
              <c:f>Sheet1!$I$3:$I$24</c:f>
              <c:numCache/>
            </c:numRef>
          </c:val>
          <c:smooth val="0"/>
        </c:ser>
        <c:axId val="685903815"/>
        <c:axId val="444734312"/>
      </c:lineChart>
      <c:catAx>
        <c:axId val="6859038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4734312"/>
      </c:catAx>
      <c:valAx>
        <c:axId val="444734312"/>
        <c:scaling>
          <c:orientation val="minMax"/>
          <c:max val="0.01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Concentration (M) of NaOH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59038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Conductivity (mS) vs Normality (N)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cat>
            <c:strRef>
              <c:f>Sheet1!$G$3:$G$24</c:f>
            </c:strRef>
          </c:cat>
          <c:val>
            <c:numRef>
              <c:f>Sheet1!$F$3:$F$24</c:f>
              <c:numCache/>
            </c:numRef>
          </c:val>
          <c:smooth val="0"/>
        </c:ser>
        <c:axId val="109693929"/>
        <c:axId val="1611445100"/>
      </c:lineChart>
      <c:catAx>
        <c:axId val="109693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Normality (N)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1445100"/>
      </c:catAx>
      <c:valAx>
        <c:axId val="1611445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Conductivity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693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695325</xdr:colOff>
      <xdr:row>0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295275</xdr:colOff>
      <xdr:row>24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657225</xdr:colOff>
      <xdr:row>44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9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3"/>
      <c r="C2" s="1"/>
      <c r="D2" s="4"/>
      <c r="E2" s="5" t="s">
        <v>1</v>
      </c>
      <c r="F2" s="5" t="s">
        <v>2</v>
      </c>
      <c r="G2" s="5" t="s">
        <v>3</v>
      </c>
      <c r="H2" s="5" t="s">
        <v>4</v>
      </c>
      <c r="I2" s="5" t="s">
        <v>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6</v>
      </c>
      <c r="B3" s="2" t="s">
        <v>7</v>
      </c>
      <c r="C3" s="1"/>
      <c r="D3" s="4"/>
      <c r="E3" s="5">
        <v>0.0</v>
      </c>
      <c r="F3" s="5">
        <v>2.375</v>
      </c>
      <c r="G3" s="6">
        <f t="shared" ref="G3:G24" si="1">(F3-0.0552)/140</f>
        <v>0.01657</v>
      </c>
      <c r="H3" s="6">
        <f t="shared" ref="H3:H24" si="2">($G$3-G3)/$G$3</f>
        <v>0</v>
      </c>
      <c r="I3" s="6">
        <f t="shared" ref="I3:I24" si="3">$E$27*(1-H3)</f>
        <v>0.01666666667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8</v>
      </c>
      <c r="B4" s="2" t="s">
        <v>9</v>
      </c>
      <c r="C4" s="1"/>
      <c r="D4" s="4"/>
      <c r="E4" s="6">
        <f t="shared" ref="E4:E24" si="4">E3+15</f>
        <v>15</v>
      </c>
      <c r="F4" s="5">
        <v>2.355</v>
      </c>
      <c r="G4" s="6">
        <f t="shared" si="1"/>
        <v>0.01642714286</v>
      </c>
      <c r="H4" s="6">
        <f t="shared" si="2"/>
        <v>0.008621432882</v>
      </c>
      <c r="I4" s="6">
        <f t="shared" si="3"/>
        <v>0.01652297612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4"/>
      <c r="E5" s="6">
        <f t="shared" si="4"/>
        <v>30</v>
      </c>
      <c r="F5" s="5">
        <v>2.33</v>
      </c>
      <c r="G5" s="6">
        <f t="shared" si="1"/>
        <v>0.01624857143</v>
      </c>
      <c r="H5" s="6">
        <f t="shared" si="2"/>
        <v>0.01939822398</v>
      </c>
      <c r="I5" s="6">
        <f t="shared" si="3"/>
        <v>0.01634336293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 t="s">
        <v>5</v>
      </c>
      <c r="B6" s="2" t="s">
        <v>2</v>
      </c>
      <c r="C6" s="1"/>
      <c r="D6" s="4"/>
      <c r="E6" s="6">
        <f t="shared" si="4"/>
        <v>45</v>
      </c>
      <c r="F6" s="5">
        <v>2.245</v>
      </c>
      <c r="G6" s="6">
        <f t="shared" si="1"/>
        <v>0.01564142857</v>
      </c>
      <c r="H6" s="6">
        <f t="shared" si="2"/>
        <v>0.05603931373</v>
      </c>
      <c r="I6" s="6">
        <f t="shared" si="3"/>
        <v>0.0157326781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0.05</v>
      </c>
      <c r="B7" s="2">
        <f>7.07</f>
        <v>7.07</v>
      </c>
      <c r="C7" s="1"/>
      <c r="D7" s="4"/>
      <c r="E7" s="6">
        <f t="shared" si="4"/>
        <v>60</v>
      </c>
      <c r="F7" s="5">
        <v>2.288</v>
      </c>
      <c r="G7" s="6">
        <f t="shared" si="1"/>
        <v>0.01594857143</v>
      </c>
      <c r="H7" s="6">
        <f t="shared" si="2"/>
        <v>0.03750323304</v>
      </c>
      <c r="I7" s="6">
        <f t="shared" si="3"/>
        <v>0.01604161278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0.025</v>
      </c>
      <c r="B8" s="2">
        <f>3.503</f>
        <v>3.503</v>
      </c>
      <c r="C8" s="1"/>
      <c r="D8" s="4"/>
      <c r="E8" s="6">
        <f t="shared" si="4"/>
        <v>75</v>
      </c>
      <c r="F8" s="5">
        <v>2.24</v>
      </c>
      <c r="G8" s="6">
        <f t="shared" si="1"/>
        <v>0.01560571429</v>
      </c>
      <c r="H8" s="6">
        <f t="shared" si="2"/>
        <v>0.05819467195</v>
      </c>
      <c r="I8" s="6">
        <f t="shared" si="3"/>
        <v>0.01569675547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0.0125</v>
      </c>
      <c r="B9" s="2">
        <f>1.87</f>
        <v>1.87</v>
      </c>
      <c r="C9" s="1"/>
      <c r="D9" s="4"/>
      <c r="E9" s="6">
        <f t="shared" si="4"/>
        <v>90</v>
      </c>
      <c r="F9" s="5">
        <v>2.197</v>
      </c>
      <c r="G9" s="6">
        <f t="shared" si="1"/>
        <v>0.01529857143</v>
      </c>
      <c r="H9" s="6">
        <f t="shared" si="2"/>
        <v>0.07673075265</v>
      </c>
      <c r="I9" s="6">
        <f t="shared" si="3"/>
        <v>0.01538782079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f t="shared" ref="A10:A12" si="5">A9/2</f>
        <v>0.00625</v>
      </c>
      <c r="B10" s="2">
        <f>940.7/1000</f>
        <v>0.9407</v>
      </c>
      <c r="C10" s="1"/>
      <c r="D10" s="4"/>
      <c r="E10" s="6">
        <f t="shared" si="4"/>
        <v>105</v>
      </c>
      <c r="F10" s="5">
        <v>2.134</v>
      </c>
      <c r="G10" s="6">
        <f t="shared" si="1"/>
        <v>0.01484857143</v>
      </c>
      <c r="H10" s="6">
        <f t="shared" si="2"/>
        <v>0.1038882662</v>
      </c>
      <c r="I10" s="6">
        <f t="shared" si="3"/>
        <v>0.01493519556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f t="shared" si="5"/>
        <v>0.003125</v>
      </c>
      <c r="B11" s="2">
        <f>473.8/1000</f>
        <v>0.4738</v>
      </c>
      <c r="C11" s="1"/>
      <c r="D11" s="4"/>
      <c r="E11" s="6">
        <f t="shared" si="4"/>
        <v>120</v>
      </c>
      <c r="F11" s="5">
        <v>2.093</v>
      </c>
      <c r="G11" s="6">
        <f t="shared" si="1"/>
        <v>0.01455571429</v>
      </c>
      <c r="H11" s="6">
        <f t="shared" si="2"/>
        <v>0.1215622036</v>
      </c>
      <c r="I11" s="6">
        <f t="shared" si="3"/>
        <v>0.01464062994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f t="shared" si="5"/>
        <v>0.0015625</v>
      </c>
      <c r="B12" s="2">
        <f>261.7/1000</f>
        <v>0.2617</v>
      </c>
      <c r="C12" s="1"/>
      <c r="D12" s="4"/>
      <c r="E12" s="6">
        <f t="shared" si="4"/>
        <v>135</v>
      </c>
      <c r="F12" s="5">
        <v>2.057</v>
      </c>
      <c r="G12" s="6">
        <f t="shared" si="1"/>
        <v>0.01429857143</v>
      </c>
      <c r="H12" s="6">
        <f t="shared" si="2"/>
        <v>0.1370807828</v>
      </c>
      <c r="I12" s="6">
        <f t="shared" si="3"/>
        <v>0.01438198695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4"/>
      <c r="E13" s="6">
        <f t="shared" si="4"/>
        <v>150</v>
      </c>
      <c r="F13" s="5">
        <v>2.019</v>
      </c>
      <c r="G13" s="6">
        <f t="shared" si="1"/>
        <v>0.01402714286</v>
      </c>
      <c r="H13" s="6">
        <f t="shared" si="2"/>
        <v>0.1534615053</v>
      </c>
      <c r="I13" s="6">
        <f t="shared" si="3"/>
        <v>0.01410897491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 t="s">
        <v>10</v>
      </c>
      <c r="B14" s="8">
        <v>0.0632</v>
      </c>
      <c r="C14" s="9" t="s">
        <v>11</v>
      </c>
      <c r="D14" s="4"/>
      <c r="E14" s="6">
        <f t="shared" si="4"/>
        <v>165</v>
      </c>
      <c r="F14" s="5">
        <v>2.013</v>
      </c>
      <c r="G14" s="6">
        <f t="shared" si="1"/>
        <v>0.01398428571</v>
      </c>
      <c r="H14" s="6">
        <f t="shared" si="2"/>
        <v>0.1560479352</v>
      </c>
      <c r="I14" s="6">
        <f t="shared" si="3"/>
        <v>0.01406586775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12</v>
      </c>
      <c r="B15" s="3">
        <f t="shared" ref="B15:B16" si="6">E27</f>
        <v>0.01666666667</v>
      </c>
      <c r="C15" s="2" t="s">
        <v>13</v>
      </c>
      <c r="D15" s="4"/>
      <c r="E15" s="6">
        <f t="shared" si="4"/>
        <v>180</v>
      </c>
      <c r="F15" s="5">
        <v>1.973</v>
      </c>
      <c r="G15" s="6">
        <f t="shared" si="1"/>
        <v>0.01369857143</v>
      </c>
      <c r="H15" s="6">
        <f t="shared" si="2"/>
        <v>0.1732908009</v>
      </c>
      <c r="I15" s="6">
        <f t="shared" si="3"/>
        <v>0.01377848665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14</v>
      </c>
      <c r="B16" s="3">
        <f t="shared" si="6"/>
        <v>0.03333333333</v>
      </c>
      <c r="C16" s="2" t="s">
        <v>13</v>
      </c>
      <c r="D16" s="4"/>
      <c r="E16" s="6">
        <f t="shared" si="4"/>
        <v>195</v>
      </c>
      <c r="F16" s="5">
        <v>1.931</v>
      </c>
      <c r="G16" s="6">
        <f t="shared" si="1"/>
        <v>0.01339857143</v>
      </c>
      <c r="H16" s="6">
        <f t="shared" si="2"/>
        <v>0.19139581</v>
      </c>
      <c r="I16" s="6">
        <f t="shared" si="3"/>
        <v>0.0134767365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15</v>
      </c>
      <c r="B17" s="3">
        <f>B15+B16</f>
        <v>0.05</v>
      </c>
      <c r="C17" s="2" t="s">
        <v>13</v>
      </c>
      <c r="D17" s="4"/>
      <c r="E17" s="6">
        <f t="shared" si="4"/>
        <v>210</v>
      </c>
      <c r="F17" s="5">
        <v>1.894</v>
      </c>
      <c r="G17" s="6">
        <f t="shared" si="1"/>
        <v>0.01313428571</v>
      </c>
      <c r="H17" s="6">
        <f t="shared" si="2"/>
        <v>0.2073454608</v>
      </c>
      <c r="I17" s="6">
        <f t="shared" si="3"/>
        <v>0.01321090899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16</v>
      </c>
      <c r="B18" s="3">
        <f t="shared" ref="B18:B19" si="7">F27</f>
        <v>0.01666666667</v>
      </c>
      <c r="C18" s="2" t="s">
        <v>17</v>
      </c>
      <c r="D18" s="4"/>
      <c r="E18" s="6">
        <f t="shared" si="4"/>
        <v>225</v>
      </c>
      <c r="F18" s="5">
        <v>1.847</v>
      </c>
      <c r="G18" s="6">
        <f t="shared" si="1"/>
        <v>0.01279857143</v>
      </c>
      <c r="H18" s="6">
        <f t="shared" si="2"/>
        <v>0.2276058281</v>
      </c>
      <c r="I18" s="6">
        <f t="shared" si="3"/>
        <v>0.0128732362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18</v>
      </c>
      <c r="B19" s="3">
        <f t="shared" si="7"/>
        <v>0.06666666667</v>
      </c>
      <c r="C19" s="2" t="s">
        <v>17</v>
      </c>
      <c r="D19" s="4"/>
      <c r="E19" s="6">
        <f t="shared" si="4"/>
        <v>240</v>
      </c>
      <c r="F19" s="5">
        <v>1.822</v>
      </c>
      <c r="G19" s="6">
        <f t="shared" si="1"/>
        <v>0.01262</v>
      </c>
      <c r="H19" s="6">
        <f t="shared" si="2"/>
        <v>0.2383826192</v>
      </c>
      <c r="I19" s="6">
        <f t="shared" si="3"/>
        <v>0.01269362301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B20" s="1"/>
      <c r="C20" s="1"/>
      <c r="D20" s="4"/>
      <c r="E20" s="6">
        <f t="shared" si="4"/>
        <v>255</v>
      </c>
      <c r="F20" s="5">
        <v>1.729</v>
      </c>
      <c r="G20" s="6">
        <f t="shared" si="1"/>
        <v>0.01195571429</v>
      </c>
      <c r="H20" s="6">
        <f t="shared" si="2"/>
        <v>0.2784722821</v>
      </c>
      <c r="I20" s="6">
        <f t="shared" si="3"/>
        <v>0.01202546197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0" t="s">
        <v>19</v>
      </c>
      <c r="B21" s="10" t="s">
        <v>20</v>
      </c>
      <c r="C21" s="1"/>
      <c r="D21" s="4"/>
      <c r="E21" s="6">
        <f t="shared" si="4"/>
        <v>270</v>
      </c>
      <c r="F21" s="5">
        <v>1.75</v>
      </c>
      <c r="G21" s="6">
        <f t="shared" si="1"/>
        <v>0.01210571429</v>
      </c>
      <c r="H21" s="6">
        <f t="shared" si="2"/>
        <v>0.2694197776</v>
      </c>
      <c r="I21" s="6">
        <f t="shared" si="3"/>
        <v>0.01217633704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1" t="s">
        <v>21</v>
      </c>
      <c r="B22" s="1">
        <f>(500*B14*B15*B15)/(B18+2*500*B14*B15*B15)</f>
        <v>0.2564935065</v>
      </c>
      <c r="C22" s="1"/>
      <c r="D22" s="4"/>
      <c r="E22" s="6">
        <f t="shared" si="4"/>
        <v>285</v>
      </c>
      <c r="F22" s="5">
        <v>1.752</v>
      </c>
      <c r="G22" s="6">
        <f t="shared" si="1"/>
        <v>0.01212</v>
      </c>
      <c r="H22" s="6">
        <f t="shared" si="2"/>
        <v>0.2685576343</v>
      </c>
      <c r="I22" s="6">
        <f t="shared" si="3"/>
        <v>0.0121907061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4"/>
      <c r="E23" s="6">
        <f t="shared" si="4"/>
        <v>300</v>
      </c>
      <c r="F23" s="5">
        <v>1.753</v>
      </c>
      <c r="G23" s="6">
        <f t="shared" si="1"/>
        <v>0.01212714286</v>
      </c>
      <c r="H23" s="6">
        <f t="shared" si="2"/>
        <v>0.2681265626</v>
      </c>
      <c r="I23" s="6">
        <f t="shared" si="3"/>
        <v>0.01219789062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4"/>
      <c r="E24" s="6">
        <f t="shared" si="4"/>
        <v>315</v>
      </c>
      <c r="F24" s="5">
        <v>1.75</v>
      </c>
      <c r="G24" s="6">
        <f t="shared" si="1"/>
        <v>0.01210571429</v>
      </c>
      <c r="H24" s="6">
        <f t="shared" si="2"/>
        <v>0.2694197776</v>
      </c>
      <c r="I24" s="6">
        <f t="shared" si="3"/>
        <v>0.01217633704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2" t="s">
        <v>22</v>
      </c>
      <c r="B26" s="12" t="s">
        <v>23</v>
      </c>
      <c r="C26" s="13" t="s">
        <v>24</v>
      </c>
      <c r="D26" s="13" t="s">
        <v>25</v>
      </c>
      <c r="E26" s="12" t="s">
        <v>26</v>
      </c>
      <c r="F26" s="12" t="s">
        <v>27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4" t="s">
        <v>7</v>
      </c>
      <c r="B27" s="15">
        <v>0.05</v>
      </c>
      <c r="C27" s="16" t="s">
        <v>28</v>
      </c>
      <c r="D27" s="17">
        <v>1.0</v>
      </c>
      <c r="E27" s="14">
        <f>B27*(D27/(D27+D28))</f>
        <v>0.01666666667</v>
      </c>
      <c r="F27" s="14">
        <f t="shared" ref="F27:F28" si="8">E27*D27</f>
        <v>0.01666666667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4" t="s">
        <v>29</v>
      </c>
      <c r="B28" s="15">
        <v>0.05</v>
      </c>
      <c r="C28" s="16" t="s">
        <v>30</v>
      </c>
      <c r="D28" s="17">
        <v>2.0</v>
      </c>
      <c r="E28" s="14">
        <f>B28*(D28/(D28+D27))</f>
        <v>0.03333333333</v>
      </c>
      <c r="F28" s="14">
        <f t="shared" si="8"/>
        <v>0.06666666667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8" t="s">
        <v>31</v>
      </c>
      <c r="B30" s="19"/>
      <c r="C30" s="4"/>
      <c r="D30" s="4"/>
      <c r="E30" s="4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4"/>
      <c r="B34" s="4"/>
      <c r="C34" s="4"/>
      <c r="D34" s="4"/>
      <c r="E34" s="4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4"/>
      <c r="B35" s="4"/>
      <c r="C35" s="4"/>
      <c r="D35" s="4"/>
      <c r="E35" s="4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4"/>
      <c r="B36" s="4"/>
      <c r="C36" s="4"/>
      <c r="D36" s="4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4"/>
      <c r="B37" s="4"/>
      <c r="C37" s="4"/>
      <c r="D37" s="4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4"/>
      <c r="B38" s="4"/>
      <c r="C38" s="4"/>
      <c r="D38" s="4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