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<sst xmlns="http://schemas.openxmlformats.org/spreadsheetml/2006/main" count="14" uniqueCount="14">
  <si>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Preparation of Ethyl acetate (0.05N)</t>
  </si>
  <si>
    <t>Preparation of NaOH (0.05 N)</t>
  </si>
  <si>
    <t>0.05*(200/1000)*88 = 0.88 gm = 0.97 ml (slightly less than 1ml)</t>
  </si>
  <si>
    <t xml:space="preserve">0.05*(200/1000)*40 = 0.4 gm </t>
  </si>
  <si>
    <t>Time (min)</t>
  </si>
  <si>
    <t>Time (s)</t>
  </si>
  <si>
    <t>Conductivity(mS)</t>
  </si>
  <si>
    <t>C_A, conc</t>
  </si>
  <si>
    <t>XA=1-CA/CA0</t>
  </si>
  <si>
    <t>dXA/dt</t>
  </si>
  <si>
    <t>CA0(1-xA)^2</t>
  </si>
  <si>
    <t>Conductivity</t>
  </si>
  <si>
    <t>Concentration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</si>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</sst>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7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sz val="12.0"/>
      <color theme="1"/>
      <name val="Times New Roman"/>
    </font>
    <font>
      <color theme="1"/>
      <name val="Arial"/>
      <scheme val="minor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4" fillId="0" fontId="5" numFmtId="164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dXA/dt vs CA0(1-xA)^2 </a:t>
            </a:r>
          </a:p>
        </c:rich>
      </c:tx>
      <c:layout>
        <c:manualLayout>
          <c:xMode val="edge"/>
          <c:yMode val="edge"/>
          <c:x val="0.014420803782505914"/>
          <c:y val="0.06908396946564886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Sheet1!$G$5:$G$44</c:f>
            </c:numRef>
          </c:xVal>
          <c:yVal>
            <c:numRef>
              <c:f>Sheet1!$F$5:$F$44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488792"/>
        <c:axId val="1861174636"/>
      </c:scatterChart>
      <c:valAx>
        <c:axId val="151048879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CA0(1-xA)^2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174636"/>
      </c:valAx>
      <c:valAx>
        <c:axId val="18611746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dXA/dt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4887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Concentration (C_A) vs Time (s)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Sheet1!$D$4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Sheet1!$B$5:$B$41</c:f>
            </c:strRef>
          </c:cat>
          <c:val>
            <c:numRef>
              <c:f>Sheet1!$D$5:$D$41</c:f>
              <c:numCache/>
            </c:numRef>
          </c:val>
          <c:smooth val="0"/>
        </c:ser>
        <c:axId val="470218736"/>
        <c:axId val="1305573983"/>
      </c:lineChart>
      <c:catAx>
        <c:axId val="470218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573983"/>
      </c:catAx>
      <c:valAx>
        <c:axId val="130557398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(C_A)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2187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Conversion (x_A) vs Time (s)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Sheet1!$E$4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Sheet1!$B$5:$B$41</c:f>
            </c:strRef>
          </c:cat>
          <c:val>
            <c:numRef>
              <c:f>Sheet1!$E$5:$E$41</c:f>
              <c:numCache/>
            </c:numRef>
          </c:val>
          <c:smooth val="0"/>
        </c:ser>
        <c:axId val="1188564600"/>
        <c:axId val="1052748849"/>
      </c:lineChart>
      <c:catAx>
        <c:axId val="1188564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748849"/>
      </c:catAx>
      <c:valAx>
        <c:axId val="105274884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Conversion (x_A)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564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 Conductivity  vs. Concentration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Sheet1!$J$5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Sheet1!$I$6:$I$9</c:f>
            </c:numRef>
          </c:xVal>
          <c:yVal>
            <c:numRef>
              <c:f>Sheet1!$J$6:$J$9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485317"/>
        <c:axId val="1048973461"/>
      </c:scatterChart>
      <c:valAx>
        <c:axId val="63848531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Concetration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8973461"/>
      </c:valAx>
      <c:valAx>
        <c:axId val="104897346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Conductivity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4853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Concentration vs. Conductivity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Sheet1!$I$5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Sheet1!$J$6:$J$9</c:f>
            </c:numRef>
          </c:xVal>
          <c:yVal>
            <c:numRef>
              <c:f>Sheet1!$I$6:$I$9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459043"/>
        <c:axId val="194462977"/>
      </c:scatterChart>
      <c:valAx>
        <c:axId val="82245904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Conductivity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62977"/>
      </c:valAx>
      <c:valAx>
        <c:axId val="19446297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Concentration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4590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323850</xdr:colOff>
      <xdr:row>26</xdr:row>
      <xdr:rowOff>190500</xdr:rowOff>
    </xdr:from>
    <xdr:ext cx="5286375" cy="3267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114300</xdr:rowOff>
    </xdr:from>
    <xdr:ext cx="4591050" cy="2838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1047750</xdr:colOff>
      <xdr:row>42</xdr:row>
      <xdr:rowOff>114300</xdr:rowOff>
    </xdr:from>
    <xdr:ext cx="4914900" cy="3038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438150</xdr:colOff>
      <xdr:row>2</xdr:row>
      <xdr:rowOff>19050</xdr:rowOff>
    </xdr:from>
    <xdr:ext cx="3876675" cy="2400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685800</xdr:colOff>
      <xdr:row>11</xdr:row>
      <xdr:rowOff>57150</xdr:rowOff>
    </xdr:from>
    <xdr:ext cx="3876675" cy="24003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75"/>
    <col customWidth="1" min="3" max="3" width="21.5"/>
    <col customWidth="1" min="4" max="4" width="17.88"/>
    <col customWidth="1" min="5" max="5" width="17.25"/>
    <col customWidth="1" min="6" max="6" width="20.0"/>
    <col customWidth="1" min="7" max="7" width="23.88"/>
    <col customWidth="1" min="9" max="9" width="16.25"/>
    <col customWidth="1" min="10" max="10" width="16.75"/>
  </cols>
  <sheetData>
    <row r="1">
      <c r="A1" s="1" t="s">
        <v>0</v>
      </c>
      <c r="B1" s="2"/>
      <c r="C1" s="3"/>
      <c r="D1" s="4" t="s">
        <v>1</v>
      </c>
      <c r="E1" s="2"/>
      <c r="F1" s="3"/>
    </row>
    <row r="2">
      <c r="A2" s="5" t="s">
        <v>2</v>
      </c>
      <c r="B2" s="2"/>
      <c r="C2" s="3"/>
      <c r="D2" s="6" t="s">
        <v>3</v>
      </c>
      <c r="E2" s="2"/>
      <c r="F2" s="3"/>
    </row>
    <row r="4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</row>
    <row r="5">
      <c r="A5" s="8">
        <v>1.0</v>
      </c>
      <c r="B5" s="9">
        <f>0+60</f>
        <v>60</v>
      </c>
      <c r="C5" s="8">
        <v>7.358</v>
      </c>
      <c r="D5" s="10">
        <f t="shared" ref="D5:D41" si="1">(C5+0.424)/224</f>
        <v>0.03474107143</v>
      </c>
      <c r="E5" s="10">
        <f t="shared" ref="E5:E41" si="2">1-D5/0.05</f>
        <v>0.3051785714</v>
      </c>
      <c r="F5" s="10">
        <f t="shared" ref="F5:F40" si="3">(E6-E5)/60</f>
        <v>0.0008303571429</v>
      </c>
      <c r="G5" s="10">
        <f t="shared" ref="G5:G41" si="4">0.05*(1-E5)^2</f>
        <v>0.02413884088</v>
      </c>
      <c r="I5" s="11" t="s">
        <v>11</v>
      </c>
      <c r="J5" s="11" t="s">
        <v>12</v>
      </c>
    </row>
    <row r="6">
      <c r="A6" s="9">
        <f t="shared" ref="A6:A41" si="5">A5+1</f>
        <v>2</v>
      </c>
      <c r="B6" s="9">
        <f t="shared" ref="B6:B41" si="6">B5+60</f>
        <v>120</v>
      </c>
      <c r="C6" s="8">
        <v>6.8</v>
      </c>
      <c r="D6" s="10">
        <f t="shared" si="1"/>
        <v>0.03225</v>
      </c>
      <c r="E6" s="10">
        <f t="shared" si="2"/>
        <v>0.355</v>
      </c>
      <c r="F6" s="10">
        <f t="shared" si="3"/>
        <v>0.0006056547619</v>
      </c>
      <c r="G6" s="10">
        <f t="shared" si="4"/>
        <v>0.02080125</v>
      </c>
      <c r="I6" s="11">
        <v>10.86</v>
      </c>
      <c r="J6" s="11">
        <v>0.05</v>
      </c>
    </row>
    <row r="7">
      <c r="A7" s="9">
        <f t="shared" si="5"/>
        <v>3</v>
      </c>
      <c r="B7" s="9">
        <f t="shared" si="6"/>
        <v>180</v>
      </c>
      <c r="C7" s="8">
        <v>6.393</v>
      </c>
      <c r="D7" s="10">
        <f t="shared" si="1"/>
        <v>0.03043303571</v>
      </c>
      <c r="E7" s="10">
        <f t="shared" si="2"/>
        <v>0.3913392857</v>
      </c>
      <c r="F7" s="10">
        <f t="shared" si="3"/>
        <v>0.000462797619</v>
      </c>
      <c r="G7" s="10">
        <f t="shared" si="4"/>
        <v>0.01852339326</v>
      </c>
      <c r="I7" s="11">
        <v>5.046</v>
      </c>
      <c r="J7" s="11">
        <v>0.025</v>
      </c>
    </row>
    <row r="8">
      <c r="A8" s="9">
        <f t="shared" si="5"/>
        <v>4</v>
      </c>
      <c r="B8" s="9">
        <f t="shared" si="6"/>
        <v>240</v>
      </c>
      <c r="C8" s="8">
        <v>6.082</v>
      </c>
      <c r="D8" s="10">
        <f t="shared" si="1"/>
        <v>0.02904464286</v>
      </c>
      <c r="E8" s="10">
        <f t="shared" si="2"/>
        <v>0.4191071429</v>
      </c>
      <c r="F8" s="10">
        <f t="shared" si="3"/>
        <v>0.0003660714286</v>
      </c>
      <c r="G8" s="10">
        <f t="shared" si="4"/>
        <v>0.01687182557</v>
      </c>
      <c r="I8" s="11">
        <v>2.08</v>
      </c>
      <c r="J8" s="11">
        <v>0.0125</v>
      </c>
    </row>
    <row r="9">
      <c r="A9" s="9">
        <f t="shared" si="5"/>
        <v>5</v>
      </c>
      <c r="B9" s="9">
        <f t="shared" si="6"/>
        <v>300</v>
      </c>
      <c r="C9" s="8">
        <v>5.836</v>
      </c>
      <c r="D9" s="10">
        <f t="shared" si="1"/>
        <v>0.02794642857</v>
      </c>
      <c r="E9" s="10">
        <f t="shared" si="2"/>
        <v>0.4410714286</v>
      </c>
      <c r="F9" s="10">
        <f t="shared" si="3"/>
        <v>0.0002782738095</v>
      </c>
      <c r="G9" s="10">
        <f t="shared" si="4"/>
        <v>0.0156200574</v>
      </c>
      <c r="I9" s="11">
        <v>1.297</v>
      </c>
      <c r="J9" s="11">
        <v>0.00625</v>
      </c>
    </row>
    <row r="10">
      <c r="A10" s="9">
        <f t="shared" si="5"/>
        <v>6</v>
      </c>
      <c r="B10" s="9">
        <f t="shared" si="6"/>
        <v>360</v>
      </c>
      <c r="C10" s="8">
        <v>5.649</v>
      </c>
      <c r="D10" s="10">
        <f t="shared" si="1"/>
        <v>0.02711160714</v>
      </c>
      <c r="E10" s="10">
        <f t="shared" si="2"/>
        <v>0.4577678571</v>
      </c>
      <c r="F10" s="10">
        <f t="shared" si="3"/>
        <v>0.0002485119048</v>
      </c>
      <c r="G10" s="10">
        <f t="shared" si="4"/>
        <v>0.01470078484</v>
      </c>
    </row>
    <row r="11">
      <c r="A11" s="9">
        <f t="shared" si="5"/>
        <v>7</v>
      </c>
      <c r="B11" s="9">
        <f t="shared" si="6"/>
        <v>420</v>
      </c>
      <c r="C11" s="8">
        <v>5.482</v>
      </c>
      <c r="D11" s="10">
        <f t="shared" si="1"/>
        <v>0.02636607143</v>
      </c>
      <c r="E11" s="10">
        <f t="shared" si="2"/>
        <v>0.4726785714</v>
      </c>
      <c r="F11" s="10">
        <f t="shared" si="3"/>
        <v>0.0002023809524</v>
      </c>
      <c r="G11" s="10">
        <f t="shared" si="4"/>
        <v>0.01390339445</v>
      </c>
    </row>
    <row r="12">
      <c r="A12" s="9">
        <f t="shared" si="5"/>
        <v>8</v>
      </c>
      <c r="B12" s="9">
        <f t="shared" si="6"/>
        <v>480</v>
      </c>
      <c r="C12" s="8">
        <v>5.346</v>
      </c>
      <c r="D12" s="10">
        <f t="shared" si="1"/>
        <v>0.02575892857</v>
      </c>
      <c r="E12" s="10">
        <f t="shared" si="2"/>
        <v>0.4848214286</v>
      </c>
      <c r="F12" s="10">
        <f t="shared" si="3"/>
        <v>0.0001726190476</v>
      </c>
      <c r="G12" s="10">
        <f t="shared" si="4"/>
        <v>0.01327044802</v>
      </c>
    </row>
    <row r="13">
      <c r="A13" s="9">
        <f t="shared" si="5"/>
        <v>9</v>
      </c>
      <c r="B13" s="9">
        <f t="shared" si="6"/>
        <v>540</v>
      </c>
      <c r="C13" s="8">
        <v>5.23</v>
      </c>
      <c r="D13" s="10">
        <f t="shared" si="1"/>
        <v>0.02524107143</v>
      </c>
      <c r="E13" s="10">
        <f t="shared" si="2"/>
        <v>0.4951785714</v>
      </c>
      <c r="F13" s="10">
        <f t="shared" si="3"/>
        <v>0.0001428571429</v>
      </c>
      <c r="G13" s="10">
        <f t="shared" si="4"/>
        <v>0.01274223374</v>
      </c>
    </row>
    <row r="14">
      <c r="A14" s="9">
        <f t="shared" si="5"/>
        <v>10</v>
      </c>
      <c r="B14" s="9">
        <f t="shared" si="6"/>
        <v>600</v>
      </c>
      <c r="C14" s="8">
        <v>5.134</v>
      </c>
      <c r="D14" s="10">
        <f t="shared" si="1"/>
        <v>0.0248125</v>
      </c>
      <c r="E14" s="10">
        <f t="shared" si="2"/>
        <v>0.50375</v>
      </c>
      <c r="F14" s="10">
        <f t="shared" si="3"/>
        <v>0.0001264880952</v>
      </c>
      <c r="G14" s="10">
        <f t="shared" si="4"/>
        <v>0.01231320313</v>
      </c>
    </row>
    <row r="15">
      <c r="A15" s="9">
        <f t="shared" si="5"/>
        <v>11</v>
      </c>
      <c r="B15" s="9">
        <f t="shared" si="6"/>
        <v>660</v>
      </c>
      <c r="C15" s="8">
        <v>5.049</v>
      </c>
      <c r="D15" s="10">
        <f t="shared" si="1"/>
        <v>0.02443303571</v>
      </c>
      <c r="E15" s="10">
        <f t="shared" si="2"/>
        <v>0.5113392857</v>
      </c>
      <c r="F15" s="10">
        <f t="shared" si="3"/>
        <v>0.0001101190476</v>
      </c>
      <c r="G15" s="10">
        <f t="shared" si="4"/>
        <v>0.01193946468</v>
      </c>
    </row>
    <row r="16">
      <c r="A16" s="9">
        <f t="shared" si="5"/>
        <v>12</v>
      </c>
      <c r="B16" s="9">
        <f t="shared" si="6"/>
        <v>720</v>
      </c>
      <c r="C16" s="8">
        <v>4.975</v>
      </c>
      <c r="D16" s="10">
        <f t="shared" si="1"/>
        <v>0.02410267857</v>
      </c>
      <c r="E16" s="10">
        <f t="shared" si="2"/>
        <v>0.5179464286</v>
      </c>
      <c r="F16" s="10">
        <f t="shared" si="3"/>
        <v>0.0001041666667</v>
      </c>
      <c r="G16" s="10">
        <f t="shared" si="4"/>
        <v>0.01161878229</v>
      </c>
    </row>
    <row r="17">
      <c r="A17" s="9">
        <f t="shared" si="5"/>
        <v>13</v>
      </c>
      <c r="B17" s="9">
        <f t="shared" si="6"/>
        <v>780</v>
      </c>
      <c r="C17" s="8">
        <v>4.905</v>
      </c>
      <c r="D17" s="10">
        <f t="shared" si="1"/>
        <v>0.02379017857</v>
      </c>
      <c r="E17" s="10">
        <f t="shared" si="2"/>
        <v>0.5241964286</v>
      </c>
      <c r="F17" s="10">
        <f t="shared" si="3"/>
        <v>0.00008333333333</v>
      </c>
      <c r="G17" s="10">
        <f t="shared" si="4"/>
        <v>0.01131945193</v>
      </c>
    </row>
    <row r="18">
      <c r="A18" s="9">
        <f t="shared" si="5"/>
        <v>14</v>
      </c>
      <c r="B18" s="9">
        <f t="shared" si="6"/>
        <v>840</v>
      </c>
      <c r="C18" s="8">
        <v>4.849</v>
      </c>
      <c r="D18" s="10">
        <f t="shared" si="1"/>
        <v>0.02354017857</v>
      </c>
      <c r="E18" s="10">
        <f t="shared" si="2"/>
        <v>0.5291964286</v>
      </c>
      <c r="F18" s="10">
        <f t="shared" si="3"/>
        <v>0.00007291666667</v>
      </c>
      <c r="G18" s="10">
        <f t="shared" si="4"/>
        <v>0.01108280014</v>
      </c>
    </row>
    <row r="19">
      <c r="A19" s="9">
        <f t="shared" si="5"/>
        <v>15</v>
      </c>
      <c r="B19" s="9">
        <f t="shared" si="6"/>
        <v>900</v>
      </c>
      <c r="C19" s="8">
        <v>4.8</v>
      </c>
      <c r="D19" s="10">
        <f t="shared" si="1"/>
        <v>0.02332142857</v>
      </c>
      <c r="E19" s="10">
        <f t="shared" si="2"/>
        <v>0.5335714286</v>
      </c>
      <c r="F19" s="10">
        <f t="shared" si="3"/>
        <v>0.00007291666667</v>
      </c>
      <c r="G19" s="10">
        <f t="shared" si="4"/>
        <v>0.01087778061</v>
      </c>
    </row>
    <row r="20">
      <c r="A20" s="9">
        <f t="shared" si="5"/>
        <v>16</v>
      </c>
      <c r="B20" s="9">
        <f t="shared" si="6"/>
        <v>960</v>
      </c>
      <c r="C20" s="8">
        <v>4.751</v>
      </c>
      <c r="D20" s="10">
        <f t="shared" si="1"/>
        <v>0.02310267857</v>
      </c>
      <c r="E20" s="10">
        <f t="shared" si="2"/>
        <v>0.5379464286</v>
      </c>
      <c r="F20" s="10">
        <f t="shared" si="3"/>
        <v>0.00006101190476</v>
      </c>
      <c r="G20" s="10">
        <f t="shared" si="4"/>
        <v>0.01067467514</v>
      </c>
    </row>
    <row r="21">
      <c r="A21" s="9">
        <f t="shared" si="5"/>
        <v>17</v>
      </c>
      <c r="B21" s="9">
        <f t="shared" si="6"/>
        <v>1020</v>
      </c>
      <c r="C21" s="8">
        <v>4.71</v>
      </c>
      <c r="D21" s="10">
        <f t="shared" si="1"/>
        <v>0.02291964286</v>
      </c>
      <c r="E21" s="10">
        <f t="shared" si="2"/>
        <v>0.5416071429</v>
      </c>
      <c r="F21" s="10">
        <f t="shared" si="3"/>
        <v>0.00005654761905</v>
      </c>
      <c r="G21" s="10">
        <f t="shared" si="4"/>
        <v>0.01050620057</v>
      </c>
    </row>
    <row r="22">
      <c r="A22" s="9">
        <f t="shared" si="5"/>
        <v>18</v>
      </c>
      <c r="B22" s="9">
        <f t="shared" si="6"/>
        <v>1080</v>
      </c>
      <c r="C22" s="8">
        <v>4.672</v>
      </c>
      <c r="D22" s="10">
        <f t="shared" si="1"/>
        <v>0.02275</v>
      </c>
      <c r="E22" s="10">
        <f t="shared" si="2"/>
        <v>0.545</v>
      </c>
      <c r="F22" s="10">
        <f t="shared" si="3"/>
        <v>0.0000505952381</v>
      </c>
      <c r="G22" s="10">
        <f t="shared" si="4"/>
        <v>0.01035125</v>
      </c>
    </row>
    <row r="23">
      <c r="A23" s="9">
        <f t="shared" si="5"/>
        <v>19</v>
      </c>
      <c r="B23" s="9">
        <f t="shared" si="6"/>
        <v>1140</v>
      </c>
      <c r="C23" s="8">
        <v>4.638</v>
      </c>
      <c r="D23" s="10">
        <f t="shared" si="1"/>
        <v>0.02259821429</v>
      </c>
      <c r="E23" s="10">
        <f t="shared" si="2"/>
        <v>0.5480357143</v>
      </c>
      <c r="F23" s="10">
        <f t="shared" si="3"/>
        <v>0.00004761904762</v>
      </c>
      <c r="G23" s="10">
        <f t="shared" si="4"/>
        <v>0.01021358578</v>
      </c>
    </row>
    <row r="24">
      <c r="A24" s="9">
        <f t="shared" si="5"/>
        <v>20</v>
      </c>
      <c r="B24" s="9">
        <f t="shared" si="6"/>
        <v>1200</v>
      </c>
      <c r="C24" s="8">
        <v>4.606</v>
      </c>
      <c r="D24" s="10">
        <f t="shared" si="1"/>
        <v>0.02245535714</v>
      </c>
      <c r="E24" s="10">
        <f t="shared" si="2"/>
        <v>0.5508928571</v>
      </c>
      <c r="F24" s="10">
        <f t="shared" si="3"/>
        <v>0.00004017857143</v>
      </c>
      <c r="G24" s="10">
        <f t="shared" si="4"/>
        <v>0.01008486129</v>
      </c>
    </row>
    <row r="25">
      <c r="A25" s="9">
        <f t="shared" si="5"/>
        <v>21</v>
      </c>
      <c r="B25" s="9">
        <f t="shared" si="6"/>
        <v>1260</v>
      </c>
      <c r="C25" s="8">
        <v>4.579</v>
      </c>
      <c r="D25" s="10">
        <f t="shared" si="1"/>
        <v>0.02233482143</v>
      </c>
      <c r="E25" s="10">
        <f t="shared" si="2"/>
        <v>0.5533035714</v>
      </c>
      <c r="F25" s="10">
        <f t="shared" si="3"/>
        <v>0.00003869047619</v>
      </c>
      <c r="G25" s="10">
        <f t="shared" si="4"/>
        <v>0.009976884965</v>
      </c>
      <c r="I25" s="12" t="s">
        <v>13</v>
      </c>
      <c r="J25" s="12">
        <v>0.0508</v>
      </c>
    </row>
    <row r="26">
      <c r="A26" s="9">
        <f t="shared" si="5"/>
        <v>22</v>
      </c>
      <c r="B26" s="9">
        <f t="shared" si="6"/>
        <v>1320</v>
      </c>
      <c r="C26" s="8">
        <v>4.553</v>
      </c>
      <c r="D26" s="10">
        <f t="shared" si="1"/>
        <v>0.02221875</v>
      </c>
      <c r="E26" s="10">
        <f t="shared" si="2"/>
        <v>0.555625</v>
      </c>
      <c r="F26" s="10">
        <f t="shared" si="3"/>
        <v>0.00003869047619</v>
      </c>
      <c r="G26" s="10">
        <f t="shared" si="4"/>
        <v>0.009873457031</v>
      </c>
    </row>
    <row r="27">
      <c r="A27" s="9">
        <f t="shared" si="5"/>
        <v>23</v>
      </c>
      <c r="B27" s="9">
        <f t="shared" si="6"/>
        <v>1380</v>
      </c>
      <c r="C27" s="8">
        <v>4.527</v>
      </c>
      <c r="D27" s="10">
        <f t="shared" si="1"/>
        <v>0.02210267857</v>
      </c>
      <c r="E27" s="10">
        <f t="shared" si="2"/>
        <v>0.5579464286</v>
      </c>
      <c r="F27" s="10">
        <f t="shared" si="3"/>
        <v>0.00002380952381</v>
      </c>
      <c r="G27" s="10">
        <f t="shared" si="4"/>
        <v>0.009770568001</v>
      </c>
    </row>
    <row r="28">
      <c r="A28" s="9">
        <f t="shared" si="5"/>
        <v>24</v>
      </c>
      <c r="B28" s="9">
        <f t="shared" si="6"/>
        <v>1440</v>
      </c>
      <c r="C28" s="8">
        <v>4.511</v>
      </c>
      <c r="D28" s="10">
        <f t="shared" si="1"/>
        <v>0.02203125</v>
      </c>
      <c r="E28" s="10">
        <f t="shared" si="2"/>
        <v>0.559375</v>
      </c>
      <c r="F28" s="10">
        <f t="shared" si="3"/>
        <v>0.00003422619048</v>
      </c>
      <c r="G28" s="10">
        <f t="shared" si="4"/>
        <v>0.009707519531</v>
      </c>
    </row>
    <row r="29">
      <c r="A29" s="9">
        <f t="shared" si="5"/>
        <v>25</v>
      </c>
      <c r="B29" s="9">
        <f t="shared" si="6"/>
        <v>1500</v>
      </c>
      <c r="C29" s="8">
        <v>4.488</v>
      </c>
      <c r="D29" s="10">
        <f t="shared" si="1"/>
        <v>0.02192857143</v>
      </c>
      <c r="E29" s="10">
        <f t="shared" si="2"/>
        <v>0.5614285714</v>
      </c>
      <c r="F29" s="10">
        <f t="shared" si="3"/>
        <v>0.00002380952381</v>
      </c>
      <c r="G29" s="10">
        <f t="shared" si="4"/>
        <v>0.009617244898</v>
      </c>
    </row>
    <row r="30">
      <c r="A30" s="9">
        <f t="shared" si="5"/>
        <v>26</v>
      </c>
      <c r="B30" s="9">
        <f t="shared" si="6"/>
        <v>1560</v>
      </c>
      <c r="C30" s="8">
        <v>4.472</v>
      </c>
      <c r="D30" s="10">
        <f t="shared" si="1"/>
        <v>0.02185714286</v>
      </c>
      <c r="E30" s="10">
        <f t="shared" si="2"/>
        <v>0.5628571429</v>
      </c>
      <c r="F30" s="10">
        <f t="shared" si="3"/>
        <v>0.00003273809524</v>
      </c>
      <c r="G30" s="10">
        <f t="shared" si="4"/>
        <v>0.009554693878</v>
      </c>
    </row>
    <row r="31">
      <c r="A31" s="9">
        <f t="shared" si="5"/>
        <v>27</v>
      </c>
      <c r="B31" s="9">
        <f t="shared" si="6"/>
        <v>1620</v>
      </c>
      <c r="C31" s="8">
        <v>4.45</v>
      </c>
      <c r="D31" s="10">
        <f t="shared" si="1"/>
        <v>0.02175892857</v>
      </c>
      <c r="E31" s="10">
        <f t="shared" si="2"/>
        <v>0.5648214286</v>
      </c>
      <c r="F31" s="10">
        <f t="shared" si="3"/>
        <v>0.00002529761905</v>
      </c>
      <c r="G31" s="10">
        <f t="shared" si="4"/>
        <v>0.009469019452</v>
      </c>
    </row>
    <row r="32">
      <c r="A32" s="9">
        <f t="shared" si="5"/>
        <v>28</v>
      </c>
      <c r="B32" s="9">
        <f t="shared" si="6"/>
        <v>1680</v>
      </c>
      <c r="C32" s="8">
        <v>4.433</v>
      </c>
      <c r="D32" s="10">
        <f t="shared" si="1"/>
        <v>0.02168303571</v>
      </c>
      <c r="E32" s="10">
        <f t="shared" si="2"/>
        <v>0.5663392857</v>
      </c>
      <c r="F32" s="10">
        <f t="shared" si="3"/>
        <v>0.0000193452381</v>
      </c>
      <c r="G32" s="10">
        <f t="shared" si="4"/>
        <v>0.009403080756</v>
      </c>
    </row>
    <row r="33">
      <c r="A33" s="9">
        <f t="shared" si="5"/>
        <v>29</v>
      </c>
      <c r="B33" s="9">
        <f t="shared" si="6"/>
        <v>1740</v>
      </c>
      <c r="C33" s="8">
        <v>4.42</v>
      </c>
      <c r="D33" s="10">
        <f t="shared" si="1"/>
        <v>0.021625</v>
      </c>
      <c r="E33" s="10">
        <f t="shared" si="2"/>
        <v>0.5675</v>
      </c>
      <c r="F33" s="10">
        <f t="shared" si="3"/>
        <v>0.0000193452381</v>
      </c>
      <c r="G33" s="10">
        <f t="shared" si="4"/>
        <v>0.0093528125</v>
      </c>
    </row>
    <row r="34">
      <c r="A34" s="9">
        <f t="shared" si="5"/>
        <v>30</v>
      </c>
      <c r="B34" s="9">
        <f t="shared" si="6"/>
        <v>1800</v>
      </c>
      <c r="C34" s="8">
        <v>4.407</v>
      </c>
      <c r="D34" s="10">
        <f t="shared" si="1"/>
        <v>0.02156696429</v>
      </c>
      <c r="E34" s="10">
        <f t="shared" si="2"/>
        <v>0.5686607143</v>
      </c>
      <c r="F34" s="10">
        <f t="shared" si="3"/>
        <v>0.00001785714286</v>
      </c>
      <c r="G34" s="10">
        <f t="shared" si="4"/>
        <v>0.00930267897</v>
      </c>
    </row>
    <row r="35">
      <c r="A35" s="9">
        <f t="shared" si="5"/>
        <v>31</v>
      </c>
      <c r="B35" s="9">
        <f t="shared" si="6"/>
        <v>1860</v>
      </c>
      <c r="C35" s="8">
        <v>4.395</v>
      </c>
      <c r="D35" s="10">
        <f t="shared" si="1"/>
        <v>0.02151339286</v>
      </c>
      <c r="E35" s="10">
        <f t="shared" si="2"/>
        <v>0.5697321429</v>
      </c>
      <c r="F35" s="10">
        <f t="shared" si="3"/>
        <v>0.0000193452381</v>
      </c>
      <c r="G35" s="10">
        <f t="shared" si="4"/>
        <v>0.009256521445</v>
      </c>
    </row>
    <row r="36">
      <c r="A36" s="9">
        <f t="shared" si="5"/>
        <v>32</v>
      </c>
      <c r="B36" s="9">
        <f t="shared" si="6"/>
        <v>1920</v>
      </c>
      <c r="C36" s="8">
        <v>4.382</v>
      </c>
      <c r="D36" s="10">
        <f t="shared" si="1"/>
        <v>0.02145535714</v>
      </c>
      <c r="E36" s="10">
        <f t="shared" si="2"/>
        <v>0.5708928571</v>
      </c>
      <c r="F36" s="10">
        <f t="shared" si="3"/>
        <v>0.000008928571429</v>
      </c>
      <c r="G36" s="10">
        <f t="shared" si="4"/>
        <v>0.009206647003</v>
      </c>
    </row>
    <row r="37">
      <c r="A37" s="9">
        <f t="shared" si="5"/>
        <v>33</v>
      </c>
      <c r="B37" s="9">
        <f t="shared" si="6"/>
        <v>1980</v>
      </c>
      <c r="C37" s="8">
        <v>4.376</v>
      </c>
      <c r="D37" s="10">
        <f t="shared" si="1"/>
        <v>0.02142857143</v>
      </c>
      <c r="E37" s="10">
        <f t="shared" si="2"/>
        <v>0.5714285714</v>
      </c>
      <c r="F37" s="10">
        <f t="shared" si="3"/>
        <v>0.00002529761905</v>
      </c>
      <c r="G37" s="10">
        <f t="shared" si="4"/>
        <v>0.009183673469</v>
      </c>
    </row>
    <row r="38">
      <c r="A38" s="9">
        <f t="shared" si="5"/>
        <v>34</v>
      </c>
      <c r="B38" s="9">
        <f t="shared" si="6"/>
        <v>2040</v>
      </c>
      <c r="C38" s="8">
        <v>4.359</v>
      </c>
      <c r="D38" s="10">
        <f t="shared" si="1"/>
        <v>0.02135267857</v>
      </c>
      <c r="E38" s="10">
        <f t="shared" si="2"/>
        <v>0.5729464286</v>
      </c>
      <c r="F38" s="10">
        <f t="shared" si="3"/>
        <v>0.00001339285714</v>
      </c>
      <c r="G38" s="10">
        <f t="shared" si="4"/>
        <v>0.009118737643</v>
      </c>
    </row>
    <row r="39">
      <c r="A39" s="9">
        <f t="shared" si="5"/>
        <v>35</v>
      </c>
      <c r="B39" s="9">
        <f t="shared" si="6"/>
        <v>2100</v>
      </c>
      <c r="C39" s="8">
        <v>4.35</v>
      </c>
      <c r="D39" s="10">
        <f t="shared" si="1"/>
        <v>0.0213125</v>
      </c>
      <c r="E39" s="10">
        <f t="shared" si="2"/>
        <v>0.57375</v>
      </c>
      <c r="F39" s="10">
        <f t="shared" si="3"/>
        <v>0.00001636904762</v>
      </c>
      <c r="G39" s="10">
        <f t="shared" si="4"/>
        <v>0.009084453125</v>
      </c>
    </row>
    <row r="40">
      <c r="A40" s="9">
        <f t="shared" si="5"/>
        <v>36</v>
      </c>
      <c r="B40" s="9">
        <f t="shared" si="6"/>
        <v>2160</v>
      </c>
      <c r="C40" s="8">
        <v>4.339</v>
      </c>
      <c r="D40" s="10">
        <f t="shared" si="1"/>
        <v>0.02126339286</v>
      </c>
      <c r="E40" s="10">
        <f t="shared" si="2"/>
        <v>0.5747321429</v>
      </c>
      <c r="F40" s="10">
        <f t="shared" si="3"/>
        <v>0.0000119047619</v>
      </c>
      <c r="G40" s="10">
        <f t="shared" si="4"/>
        <v>0.009042637516</v>
      </c>
    </row>
    <row r="41">
      <c r="A41" s="9">
        <f t="shared" si="5"/>
        <v>37</v>
      </c>
      <c r="B41" s="9">
        <f t="shared" si="6"/>
        <v>2220</v>
      </c>
      <c r="C41" s="8">
        <v>4.331</v>
      </c>
      <c r="D41" s="10">
        <f t="shared" si="1"/>
        <v>0.02122767857</v>
      </c>
      <c r="E41" s="10">
        <f t="shared" si="2"/>
        <v>0.5754464286</v>
      </c>
      <c r="F41" s="10"/>
      <c r="G41" s="10">
        <f t="shared" si="4"/>
        <v>0.009012286751</v>
      </c>
    </row>
  </sheetData>
  <mergeCells count="4">
    <mergeCell ref="A1:C1"/>
    <mergeCell ref="D1:F1"/>
    <mergeCell ref="A2:C2"/>
    <mergeCell ref="D2:F2"/>
  </mergeCells>
  <drawing r:id="rId1"/>
</worksheet>
</file>