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<sst xmlns="http://schemas.openxmlformats.org/spreadsheetml/2006/main" count="38" uniqueCount="37">
  <si>
    <t>Concentration (M)</t>
  </si>
  <si>
    <t>conductivity  (mS)</t>
  </si>
  <si>
    <t>Conductivity  (mS)</t>
  </si>
  <si>
    <t>Time (s)</t>
  </si>
  <si>
    <t>Shoelace Formula area under Conentration - time curve</t>
  </si>
  <si>
    <t>E (t)</t>
  </si>
  <si>
    <t>t * E(t)</t>
  </si>
  <si>
    <t>Shoelace Formula area under E(t) - time curve</t>
  </si>
  <si>
    <t>Shoelace Formula area under t*E(t) - time curve</t>
  </si>
  <si>
    <t>t-tm</t>
  </si>
  <si>
    <t>(t - tm)²</t>
  </si>
  <si>
    <t xml:space="preserve">(t - tm)² E(t) </t>
  </si>
  <si>
    <t>Shoelace Formula area under (t - tm)² E(t)  - time curve</t>
  </si>
  <si>
    <t>X</t>
  </si>
  <si>
    <t>X*E(t)</t>
  </si>
  <si>
    <t>Shoelace Formula area under X*E(t)  - time curve</t>
  </si>
  <si>
    <t xml:space="preserve">Area under concentration-time curve: </t>
  </si>
  <si>
    <t xml:space="preserve">Area under E(t)-time curve: </t>
  </si>
  <si>
    <t xml:space="preserve">Area under t * E(t)-time curve: </t>
  </si>
  <si>
    <t xml:space="preserve">Area under  (t - tm)² E(t) -time curve: </t>
  </si>
  <si>
    <t xml:space="preserve">Area under X * E(t) -time curve (X_bar) : </t>
  </si>
  <si>
    <t>Mean residence time (tm) (in secs) :</t>
  </si>
  <si>
    <t>Variance (σ²)</t>
  </si>
  <si>
    <t>σ</t>
  </si>
  <si>
    <t>Parameter</t>
  </si>
  <si>
    <t>Value</t>
  </si>
  <si>
    <t>unit</t>
  </si>
  <si>
    <t>Temperature, T</t>
  </si>
  <si>
    <t>°C</t>
  </si>
  <si>
    <t>Rate constant, k</t>
  </si>
  <si>
    <t>l/mol</t>
  </si>
  <si>
    <t>Reactor volume, V</t>
  </si>
  <si>
    <t>mL</t>
  </si>
  <si>
    <t>Volumetric flowrate, v</t>
  </si>
  <si>
    <t>ml/min</t>
  </si>
  <si>
    <t>Space time (τ)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</si>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</sst>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&quot;Times New Roman&quot;"/>
    </font>
    <font>
      <sz val="12.0"/>
      <color theme="1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164" xfId="0" applyFont="1" applyNumberFormat="1"/>
    <xf borderId="0" fillId="2" fontId="1" numFmtId="164" xfId="0" applyAlignment="1" applyFont="1" applyNumberFormat="1">
      <alignment horizontal="center" shrinkToFit="0" wrapText="1"/>
    </xf>
    <xf borderId="1" fillId="3" fontId="2" numFmtId="164" xfId="0" applyAlignment="1" applyBorder="1" applyFill="1" applyFont="1" applyNumberFormat="1">
      <alignment horizontal="center" readingOrder="0" shrinkToFit="0" vertical="top" wrapText="1"/>
    </xf>
    <xf borderId="2" fillId="3" fontId="2" numFmtId="164" xfId="0" applyAlignment="1" applyBorder="1" applyFont="1" applyNumberFormat="1">
      <alignment horizontal="center" readingOrder="0" shrinkToFit="0" vertical="top" wrapText="1"/>
    </xf>
    <xf borderId="3" fillId="0" fontId="3" numFmtId="164" xfId="0" applyAlignment="1" applyBorder="1" applyFont="1" applyNumberFormat="1">
      <alignment horizontal="center" readingOrder="0" shrinkToFit="0" vertical="top" wrapText="1"/>
    </xf>
    <xf borderId="4" fillId="0" fontId="1" numFmtId="164" xfId="0" applyAlignment="1" applyBorder="1" applyFont="1" applyNumberFormat="1">
      <alignment horizontal="center" readingOrder="0" shrinkToFit="0" vertical="top" wrapText="1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conductivity (mS) vs. concentration (M)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74EA7"/>
              </a:solidFill>
              <a:ln cmpd="sng">
                <a:solidFill>
                  <a:srgbClr val="674EA7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Sheet1!$A$2:$A$5</c:f>
            </c:numRef>
          </c:xVal>
          <c:yVal>
            <c:numRef>
              <c:f>Sheet1!$B$2:$B$5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894705"/>
        <c:axId val="816869605"/>
      </c:scatterChart>
      <c:valAx>
        <c:axId val="83289470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869605"/>
      </c:valAx>
      <c:valAx>
        <c:axId val="81686960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(mS)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894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Conductivity (mS) vs. Time (s)  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Sheet1!$A$10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Sheet1!$B$11:$B$40</c:f>
            </c:strRef>
          </c:cat>
          <c:val>
            <c:numRef>
              <c:f>Sheet1!$A$11:$A$40</c:f>
              <c:numCache/>
            </c:numRef>
          </c:val>
        </c:ser>
        <c:axId val="2142135130"/>
        <c:axId val="728280711"/>
      </c:areaChart>
      <c:catAx>
        <c:axId val="2142135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280711"/>
      </c:catAx>
      <c:valAx>
        <c:axId val="7282807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(mS)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135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 (t) vs time (s)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Sheet1!$F$10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/>
              </a:solidFill>
            </a:ln>
          </c:spPr>
          <c:cat>
            <c:strRef>
              <c:f>Sheet1!$B$11:$B$40</c:f>
            </c:strRef>
          </c:cat>
          <c:val>
            <c:numRef>
              <c:f>Sheet1!$F$11:$F$40</c:f>
              <c:numCache/>
            </c:numRef>
          </c:val>
        </c:ser>
        <c:axId val="1806820316"/>
        <c:axId val="771168169"/>
      </c:areaChart>
      <c:catAx>
        <c:axId val="1806820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168169"/>
      </c:catAx>
      <c:valAx>
        <c:axId val="77116816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 (t)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820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 * E(t) vs time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Sheet1!$G$10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Sheet1!$B$11:$B$40</c:f>
            </c:strRef>
          </c:cat>
          <c:val>
            <c:numRef>
              <c:f>Sheet1!$G$11:$G$40</c:f>
              <c:numCache/>
            </c:numRef>
          </c:val>
        </c:ser>
        <c:axId val="1228824751"/>
        <c:axId val="1397451783"/>
      </c:areaChart>
      <c:catAx>
        <c:axId val="122882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451783"/>
      </c:catAx>
      <c:valAx>
        <c:axId val="139745178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 * E(t)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824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(t - tm)² E(t)  vs Time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Sheet1!$N$10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Sheet1!$B$11:$B$40</c:f>
            </c:strRef>
          </c:cat>
          <c:val>
            <c:numRef>
              <c:f>Sheet1!$N$11:$N$40</c:f>
              <c:numCache/>
            </c:numRef>
          </c:val>
        </c:ser>
        <c:axId val="1573154875"/>
        <c:axId val="501289427"/>
      </c:areaChart>
      <c:catAx>
        <c:axId val="1573154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289427"/>
      </c:catAx>
      <c:valAx>
        <c:axId val="50128942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 - tm)² E(t)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154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Concentration (M) vs. conductivity  (mS)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74EA7"/>
              </a:solidFill>
              <a:ln cmpd="sng">
                <a:solidFill>
                  <a:srgbClr val="674EA7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Sheet1!$B$2:$B$5</c:f>
            </c:numRef>
          </c:xVal>
          <c:yVal>
            <c:numRef>
              <c:f>Sheet1!$A$2:$A$5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975944"/>
        <c:axId val="1037118989"/>
      </c:scatterChart>
      <c:valAx>
        <c:axId val="175697594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 (mS)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118989"/>
      </c:valAx>
      <c:valAx>
        <c:axId val="1037118989"/>
        <c:scaling>
          <c:orientation val="minMax"/>
          <c:max val="0.6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975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(M) vs. Time (s)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Sheet1!$C$10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Sheet1!$B$11:$B$39</c:f>
            </c:strRef>
          </c:cat>
          <c:val>
            <c:numRef>
              <c:f>Sheet1!$C$11:$C$39</c:f>
              <c:numCache/>
            </c:numRef>
          </c:val>
        </c:ser>
        <c:axId val="1787884876"/>
        <c:axId val="408583115"/>
      </c:areaChart>
      <c:catAx>
        <c:axId val="1787884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583115"/>
      </c:catAx>
      <c:valAx>
        <c:axId val="40858311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884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X*E(t) vs time (s)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Sheet1!$R$10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Sheet1!$B$11:$B$40</c:f>
            </c:strRef>
          </c:cat>
          <c:val>
            <c:numRef>
              <c:f>Sheet1!$R$11:$R$39</c:f>
              <c:numCache/>
            </c:numRef>
          </c:val>
        </c:ser>
        <c:axId val="1023005529"/>
        <c:axId val="588923608"/>
      </c:areaChart>
      <c:catAx>
        <c:axId val="1023005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923608"/>
      </c:catAx>
      <c:valAx>
        <c:axId val="588923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X*E(t)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005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9525</xdr:colOff>
      <xdr:row>1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9525</xdr:colOff>
      <xdr:row>18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9525</xdr:colOff>
      <xdr:row>36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9525</xdr:colOff>
      <xdr:row>54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304800</xdr:colOff>
      <xdr:row>44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581025</xdr:colOff>
      <xdr:row>1</xdr:row>
      <xdr:rowOff>9525</xdr:rowOff>
    </xdr:from>
    <xdr:ext cx="5229225" cy="3238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809625</xdr:colOff>
      <xdr:row>43</xdr:row>
      <xdr:rowOff>285750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1133475</xdr:colOff>
      <xdr:row>61</xdr:row>
      <xdr:rowOff>142875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4" width="17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3">
        <v>0.5</v>
      </c>
      <c r="B2" s="3">
        <v>84.27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3">
        <v>0.25</v>
      </c>
      <c r="B3" s="3">
        <v>39.95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>
        <v>0.125</v>
      </c>
      <c r="B4" s="3">
        <v>20.31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3">
        <v>0.0625</v>
      </c>
      <c r="B5" s="3">
        <v>10.58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1" t="s">
        <v>2</v>
      </c>
      <c r="B10" s="1" t="s">
        <v>3</v>
      </c>
      <c r="C10" s="1" t="s">
        <v>0</v>
      </c>
      <c r="D10" s="1" t="s">
        <v>4</v>
      </c>
      <c r="F10" s="1" t="s">
        <v>5</v>
      </c>
      <c r="G10" s="1" t="s">
        <v>6</v>
      </c>
      <c r="H10" s="1" t="s">
        <v>7</v>
      </c>
      <c r="J10" s="1" t="s">
        <v>8</v>
      </c>
      <c r="L10" s="1" t="s">
        <v>9</v>
      </c>
      <c r="M10" s="1" t="s">
        <v>10</v>
      </c>
      <c r="N10" s="1" t="s">
        <v>11</v>
      </c>
      <c r="O10" s="1" t="s">
        <v>12</v>
      </c>
      <c r="Q10" s="1" t="s">
        <v>13</v>
      </c>
      <c r="R10" s="1" t="s">
        <v>14</v>
      </c>
      <c r="S10" s="1" t="s">
        <v>15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3">
        <v>19.46</v>
      </c>
      <c r="B11" s="3">
        <v>0.0</v>
      </c>
      <c r="C11" s="2">
        <f t="shared" ref="C11:C39" si="1">0.00591*A11+0.00502</f>
        <v>0.1200286</v>
      </c>
      <c r="D11" s="2">
        <f t="shared" ref="D11:D39" si="2">C11*B12</f>
        <v>1.800429</v>
      </c>
      <c r="E11" s="2">
        <f t="shared" ref="E11:E39" si="3">B11*C12</f>
        <v>0</v>
      </c>
      <c r="F11" s="2">
        <f t="shared" ref="F11:F39" si="4">C11/$D$42</f>
        <v>0.001077883837</v>
      </c>
      <c r="G11" s="2">
        <f t="shared" ref="G11:G39" si="5">B11*F11</f>
        <v>0</v>
      </c>
      <c r="H11" s="2">
        <f t="shared" ref="H11:H39" si="6">F11*B12</f>
        <v>0.01616825756</v>
      </c>
      <c r="I11" s="2">
        <f t="shared" ref="I11:I39" si="7">B11*F12</f>
        <v>0</v>
      </c>
      <c r="J11" s="2">
        <f t="shared" ref="J11:J39" si="8">G11*B12</f>
        <v>0</v>
      </c>
      <c r="K11" s="2">
        <f t="shared" ref="K11:K39" si="9">G12*B11</f>
        <v>0</v>
      </c>
      <c r="L11" s="2">
        <f t="shared" ref="L11:L39" si="10">abs(B11-$H$44)</f>
        <v>185.4322492</v>
      </c>
      <c r="M11" s="2">
        <f t="shared" ref="M11:M39" si="11">L11*L11</f>
        <v>34385.11903</v>
      </c>
      <c r="N11" s="2">
        <f t="shared" ref="N11:N39" si="12">M11*F11</f>
        <v>37.06316403</v>
      </c>
      <c r="O11" s="2">
        <f t="shared" ref="O11:O39" si="13">N11*B12</f>
        <v>555.9474605</v>
      </c>
      <c r="P11" s="2">
        <f t="shared" ref="P11:P39" si="14">N12*B11</f>
        <v>0</v>
      </c>
      <c r="Q11" s="3">
        <f t="shared" ref="Q11:Q39" si="15">1-exp(-B11*$B$51)</f>
        <v>0</v>
      </c>
      <c r="R11" s="2">
        <f t="shared" ref="R11:R39" si="16">Q11*F11</f>
        <v>0</v>
      </c>
      <c r="S11" s="2">
        <f t="shared" ref="S11:S39" si="17">R11*B12</f>
        <v>0</v>
      </c>
      <c r="T11" s="2">
        <f t="shared" ref="T11:T39" si="18">R12*B11</f>
        <v>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3">
        <v>22.46</v>
      </c>
      <c r="B12" s="2">
        <f t="shared" ref="B12:B39" si="19">B11+15</f>
        <v>15</v>
      </c>
      <c r="C12" s="2">
        <f t="shared" si="1"/>
        <v>0.1377586</v>
      </c>
      <c r="D12" s="2">
        <f t="shared" si="2"/>
        <v>4.132758</v>
      </c>
      <c r="E12" s="2">
        <f t="shared" si="3"/>
        <v>4.1532</v>
      </c>
      <c r="F12" s="2">
        <f t="shared" si="4"/>
        <v>0.001237103227</v>
      </c>
      <c r="G12" s="2">
        <f t="shared" si="5"/>
        <v>0.0185565484</v>
      </c>
      <c r="H12" s="2">
        <f t="shared" si="6"/>
        <v>0.0371130968</v>
      </c>
      <c r="I12" s="2">
        <f t="shared" si="7"/>
        <v>0.03729667056</v>
      </c>
      <c r="J12" s="2">
        <f t="shared" si="8"/>
        <v>0.556696452</v>
      </c>
      <c r="K12" s="2">
        <f t="shared" si="9"/>
        <v>1.118900117</v>
      </c>
      <c r="L12" s="2">
        <f t="shared" si="10"/>
        <v>170.4322492</v>
      </c>
      <c r="M12" s="2">
        <f t="shared" si="11"/>
        <v>29047.15155</v>
      </c>
      <c r="N12" s="2">
        <f t="shared" si="12"/>
        <v>35.93432491</v>
      </c>
      <c r="O12" s="2">
        <f t="shared" si="13"/>
        <v>1078.029747</v>
      </c>
      <c r="P12" s="2">
        <f t="shared" si="14"/>
        <v>901.0571295</v>
      </c>
      <c r="Q12" s="3">
        <f t="shared" si="15"/>
        <v>0.6113204291</v>
      </c>
      <c r="R12" s="2">
        <f t="shared" si="16"/>
        <v>0.0007562664753</v>
      </c>
      <c r="S12" s="2">
        <f t="shared" si="17"/>
        <v>0.02268799426</v>
      </c>
      <c r="T12" s="2">
        <f t="shared" si="18"/>
        <v>0.03166219507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3">
        <v>46.0</v>
      </c>
      <c r="B13" s="2">
        <f t="shared" si="19"/>
        <v>30</v>
      </c>
      <c r="C13" s="2">
        <f t="shared" si="1"/>
        <v>0.27688</v>
      </c>
      <c r="D13" s="2">
        <f t="shared" si="2"/>
        <v>12.4596</v>
      </c>
      <c r="E13" s="2">
        <f t="shared" si="3"/>
        <v>12.540324</v>
      </c>
      <c r="F13" s="2">
        <f t="shared" si="4"/>
        <v>0.002486444704</v>
      </c>
      <c r="G13" s="2">
        <f t="shared" si="5"/>
        <v>0.07459334112</v>
      </c>
      <c r="H13" s="2">
        <f t="shared" si="6"/>
        <v>0.1118900117</v>
      </c>
      <c r="I13" s="2">
        <f t="shared" si="7"/>
        <v>0.1126149314</v>
      </c>
      <c r="J13" s="2">
        <f t="shared" si="8"/>
        <v>3.35670035</v>
      </c>
      <c r="K13" s="2">
        <f t="shared" si="9"/>
        <v>5.067671911</v>
      </c>
      <c r="L13" s="2">
        <f t="shared" si="10"/>
        <v>155.4322492</v>
      </c>
      <c r="M13" s="2">
        <f t="shared" si="11"/>
        <v>24159.18408</v>
      </c>
      <c r="N13" s="2">
        <f t="shared" si="12"/>
        <v>60.0704753</v>
      </c>
      <c r="O13" s="2">
        <f t="shared" si="13"/>
        <v>2703.171389</v>
      </c>
      <c r="P13" s="2">
        <f t="shared" si="14"/>
        <v>2220.903454</v>
      </c>
      <c r="Q13" s="3">
        <f t="shared" si="15"/>
        <v>0.8489281912</v>
      </c>
      <c r="R13" s="2">
        <f t="shared" si="16"/>
        <v>0.002110813005</v>
      </c>
      <c r="S13" s="2">
        <f t="shared" si="17"/>
        <v>0.09498658522</v>
      </c>
      <c r="T13" s="2">
        <f t="shared" si="18"/>
        <v>0.1060023486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3">
        <v>69.88</v>
      </c>
      <c r="B14" s="2">
        <f t="shared" si="19"/>
        <v>45</v>
      </c>
      <c r="C14" s="2">
        <f t="shared" si="1"/>
        <v>0.4180108</v>
      </c>
      <c r="D14" s="2">
        <f t="shared" si="2"/>
        <v>25.080648</v>
      </c>
      <c r="E14" s="2">
        <f t="shared" si="3"/>
        <v>18.624321</v>
      </c>
      <c r="F14" s="2">
        <f t="shared" si="4"/>
        <v>0.003753831045</v>
      </c>
      <c r="G14" s="2">
        <f t="shared" si="5"/>
        <v>0.168922397</v>
      </c>
      <c r="H14" s="2">
        <f t="shared" si="6"/>
        <v>0.2252298627</v>
      </c>
      <c r="I14" s="2">
        <f t="shared" si="7"/>
        <v>0.1672505935</v>
      </c>
      <c r="J14" s="2">
        <f t="shared" si="8"/>
        <v>10.13534382</v>
      </c>
      <c r="K14" s="2">
        <f t="shared" si="9"/>
        <v>10.03503561</v>
      </c>
      <c r="L14" s="2">
        <f t="shared" si="10"/>
        <v>140.4322492</v>
      </c>
      <c r="M14" s="2">
        <f t="shared" si="11"/>
        <v>19721.2166</v>
      </c>
      <c r="N14" s="2">
        <f t="shared" si="12"/>
        <v>74.03011514</v>
      </c>
      <c r="O14" s="2">
        <f t="shared" si="13"/>
        <v>4441.806908</v>
      </c>
      <c r="P14" s="2">
        <f t="shared" si="14"/>
        <v>2631.395254</v>
      </c>
      <c r="Q14" s="3">
        <f t="shared" si="15"/>
        <v>0.9412814742</v>
      </c>
      <c r="R14" s="2">
        <f t="shared" si="16"/>
        <v>0.00353341162</v>
      </c>
      <c r="S14" s="2">
        <f t="shared" si="17"/>
        <v>0.2120046972</v>
      </c>
      <c r="T14" s="2">
        <f t="shared" si="18"/>
        <v>0.1634334848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3">
        <v>69.18</v>
      </c>
      <c r="B15" s="2">
        <f t="shared" si="19"/>
        <v>60</v>
      </c>
      <c r="C15" s="2">
        <f t="shared" si="1"/>
        <v>0.4138738</v>
      </c>
      <c r="D15" s="2">
        <f t="shared" si="2"/>
        <v>31.040535</v>
      </c>
      <c r="E15" s="2">
        <f t="shared" si="3"/>
        <v>23.747352</v>
      </c>
      <c r="F15" s="2">
        <f t="shared" si="4"/>
        <v>0.003716679854</v>
      </c>
      <c r="G15" s="2">
        <f t="shared" si="5"/>
        <v>0.2230007913</v>
      </c>
      <c r="H15" s="2">
        <f t="shared" si="6"/>
        <v>0.2787509891</v>
      </c>
      <c r="I15" s="2">
        <f t="shared" si="7"/>
        <v>0.2132565646</v>
      </c>
      <c r="J15" s="2">
        <f t="shared" si="8"/>
        <v>16.72505935</v>
      </c>
      <c r="K15" s="2">
        <f t="shared" si="9"/>
        <v>15.99424235</v>
      </c>
      <c r="L15" s="2">
        <f t="shared" si="10"/>
        <v>125.4322492</v>
      </c>
      <c r="M15" s="2">
        <f t="shared" si="11"/>
        <v>15733.24913</v>
      </c>
      <c r="N15" s="2">
        <f t="shared" si="12"/>
        <v>58.47545008</v>
      </c>
      <c r="O15" s="2">
        <f t="shared" si="13"/>
        <v>4385.658756</v>
      </c>
      <c r="P15" s="2">
        <f t="shared" si="14"/>
        <v>2600.72387</v>
      </c>
      <c r="Q15" s="3">
        <f t="shared" si="15"/>
        <v>0.9771773086</v>
      </c>
      <c r="R15" s="2">
        <f t="shared" si="16"/>
        <v>0.003631855217</v>
      </c>
      <c r="S15" s="2">
        <f t="shared" si="17"/>
        <v>0.2723891413</v>
      </c>
      <c r="T15" s="2">
        <f t="shared" si="18"/>
        <v>0.2113648266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3">
        <v>66.12</v>
      </c>
      <c r="B16" s="2">
        <f t="shared" si="19"/>
        <v>75</v>
      </c>
      <c r="C16" s="2">
        <f t="shared" si="1"/>
        <v>0.3957892</v>
      </c>
      <c r="D16" s="2">
        <f t="shared" si="2"/>
        <v>35.621028</v>
      </c>
      <c r="E16" s="2">
        <f t="shared" si="3"/>
        <v>28.46082</v>
      </c>
      <c r="F16" s="2">
        <f t="shared" si="4"/>
        <v>0.003554276077</v>
      </c>
      <c r="G16" s="2">
        <f t="shared" si="5"/>
        <v>0.2665707058</v>
      </c>
      <c r="H16" s="2">
        <f t="shared" si="6"/>
        <v>0.3198848469</v>
      </c>
      <c r="I16" s="2">
        <f t="shared" si="7"/>
        <v>0.2555845679</v>
      </c>
      <c r="J16" s="2">
        <f t="shared" si="8"/>
        <v>23.99136352</v>
      </c>
      <c r="K16" s="2">
        <f t="shared" si="9"/>
        <v>23.00261111</v>
      </c>
      <c r="L16" s="2">
        <f t="shared" si="10"/>
        <v>110.4322492</v>
      </c>
      <c r="M16" s="2">
        <f t="shared" si="11"/>
        <v>12195.28165</v>
      </c>
      <c r="N16" s="2">
        <f t="shared" si="12"/>
        <v>43.34539783</v>
      </c>
      <c r="O16" s="2">
        <f t="shared" si="13"/>
        <v>3901.085805</v>
      </c>
      <c r="P16" s="2">
        <f t="shared" si="14"/>
        <v>2327.688959</v>
      </c>
      <c r="Q16" s="3">
        <f t="shared" si="15"/>
        <v>0.9911292861</v>
      </c>
      <c r="R16" s="2">
        <f t="shared" si="16"/>
        <v>0.003522747111</v>
      </c>
      <c r="S16" s="2">
        <f t="shared" si="17"/>
        <v>0.31704724</v>
      </c>
      <c r="T16" s="2">
        <f t="shared" si="18"/>
        <v>0.2547033467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3">
        <v>63.36</v>
      </c>
      <c r="B17" s="2">
        <f t="shared" si="19"/>
        <v>90</v>
      </c>
      <c r="C17" s="2">
        <f t="shared" si="1"/>
        <v>0.3794776</v>
      </c>
      <c r="D17" s="2">
        <f t="shared" si="2"/>
        <v>39.845148</v>
      </c>
      <c r="E17" s="2">
        <f t="shared" si="3"/>
        <v>32.807277</v>
      </c>
      <c r="F17" s="2">
        <f t="shared" si="4"/>
        <v>0.003407794239</v>
      </c>
      <c r="G17" s="2">
        <f t="shared" si="5"/>
        <v>0.3067014815</v>
      </c>
      <c r="H17" s="2">
        <f t="shared" si="6"/>
        <v>0.3578183951</v>
      </c>
      <c r="I17" s="2">
        <f t="shared" si="7"/>
        <v>0.2946167298</v>
      </c>
      <c r="J17" s="2">
        <f t="shared" si="8"/>
        <v>32.20365555</v>
      </c>
      <c r="K17" s="2">
        <f t="shared" si="9"/>
        <v>30.93475663</v>
      </c>
      <c r="L17" s="2">
        <f t="shared" si="10"/>
        <v>95.43224916</v>
      </c>
      <c r="M17" s="2">
        <f t="shared" si="11"/>
        <v>9107.314179</v>
      </c>
      <c r="N17" s="2">
        <f t="shared" si="12"/>
        <v>31.03585279</v>
      </c>
      <c r="O17" s="2">
        <f t="shared" si="13"/>
        <v>3258.764543</v>
      </c>
      <c r="P17" s="2">
        <f t="shared" si="14"/>
        <v>1905.97777</v>
      </c>
      <c r="Q17" s="3">
        <f t="shared" si="15"/>
        <v>0.9965521347</v>
      </c>
      <c r="R17" s="2">
        <f t="shared" si="16"/>
        <v>0.003396044623</v>
      </c>
      <c r="S17" s="2">
        <f t="shared" si="17"/>
        <v>0.3565846854</v>
      </c>
      <c r="T17" s="2">
        <f t="shared" si="18"/>
        <v>0.2942219096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3">
        <v>60.83</v>
      </c>
      <c r="B18" s="2">
        <f t="shared" si="19"/>
        <v>105</v>
      </c>
      <c r="C18" s="2">
        <f t="shared" si="1"/>
        <v>0.3645253</v>
      </c>
      <c r="D18" s="2">
        <f t="shared" si="2"/>
        <v>43.743036</v>
      </c>
      <c r="E18" s="2">
        <f t="shared" si="3"/>
        <v>36.792042</v>
      </c>
      <c r="F18" s="2">
        <f t="shared" si="4"/>
        <v>0.00327351922</v>
      </c>
      <c r="G18" s="2">
        <f t="shared" si="5"/>
        <v>0.3437195181</v>
      </c>
      <c r="H18" s="2">
        <f t="shared" si="6"/>
        <v>0.3928223064</v>
      </c>
      <c r="I18" s="2">
        <f t="shared" si="7"/>
        <v>0.3304008162</v>
      </c>
      <c r="J18" s="2">
        <f t="shared" si="8"/>
        <v>41.24634217</v>
      </c>
      <c r="K18" s="2">
        <f t="shared" si="9"/>
        <v>39.64809794</v>
      </c>
      <c r="L18" s="2">
        <f t="shared" si="10"/>
        <v>80.43224916</v>
      </c>
      <c r="M18" s="2">
        <f t="shared" si="11"/>
        <v>6469.346704</v>
      </c>
      <c r="N18" s="2">
        <f t="shared" si="12"/>
        <v>21.17753078</v>
      </c>
      <c r="O18" s="2">
        <f t="shared" si="13"/>
        <v>2541.303693</v>
      </c>
      <c r="P18" s="2">
        <f t="shared" si="14"/>
        <v>1414.571192</v>
      </c>
      <c r="Q18" s="3">
        <f t="shared" si="15"/>
        <v>0.9986598852</v>
      </c>
      <c r="R18" s="2">
        <f t="shared" si="16"/>
        <v>0.003269132328</v>
      </c>
      <c r="S18" s="2">
        <f t="shared" si="17"/>
        <v>0.3922958794</v>
      </c>
      <c r="T18" s="2">
        <f t="shared" si="18"/>
        <v>0.3302287186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3">
        <v>58.44</v>
      </c>
      <c r="B19" s="2">
        <f t="shared" si="19"/>
        <v>120</v>
      </c>
      <c r="C19" s="2">
        <f t="shared" si="1"/>
        <v>0.3504004</v>
      </c>
      <c r="D19" s="2">
        <f t="shared" si="2"/>
        <v>47.304054</v>
      </c>
      <c r="E19" s="2">
        <f t="shared" si="3"/>
        <v>40.4949</v>
      </c>
      <c r="F19" s="2">
        <f t="shared" si="4"/>
        <v>0.00314667444</v>
      </c>
      <c r="G19" s="2">
        <f t="shared" si="5"/>
        <v>0.3776009328</v>
      </c>
      <c r="H19" s="2">
        <f t="shared" si="6"/>
        <v>0.4248010493</v>
      </c>
      <c r="I19" s="2">
        <f t="shared" si="7"/>
        <v>0.3636533142</v>
      </c>
      <c r="J19" s="2">
        <f t="shared" si="8"/>
        <v>50.97612592</v>
      </c>
      <c r="K19" s="2">
        <f t="shared" si="9"/>
        <v>49.09319742</v>
      </c>
      <c r="L19" s="2">
        <f t="shared" si="10"/>
        <v>65.43224916</v>
      </c>
      <c r="M19" s="2">
        <f t="shared" si="11"/>
        <v>4281.37923</v>
      </c>
      <c r="N19" s="2">
        <f t="shared" si="12"/>
        <v>13.47210659</v>
      </c>
      <c r="O19" s="2">
        <f t="shared" si="13"/>
        <v>1818.734389</v>
      </c>
      <c r="P19" s="2">
        <f t="shared" si="14"/>
        <v>924.9201141</v>
      </c>
      <c r="Q19" s="3">
        <f t="shared" si="15"/>
        <v>0.9994791248</v>
      </c>
      <c r="R19" s="2">
        <f t="shared" si="16"/>
        <v>0.003145035415</v>
      </c>
      <c r="S19" s="2">
        <f t="shared" si="17"/>
        <v>0.424579781</v>
      </c>
      <c r="T19" s="2">
        <f t="shared" si="18"/>
        <v>0.3635796913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3">
        <v>56.25</v>
      </c>
      <c r="B20" s="2">
        <f t="shared" si="19"/>
        <v>135</v>
      </c>
      <c r="C20" s="2">
        <f t="shared" si="1"/>
        <v>0.3374575</v>
      </c>
      <c r="D20" s="2">
        <f t="shared" si="2"/>
        <v>50.618625</v>
      </c>
      <c r="E20" s="2">
        <f t="shared" si="3"/>
        <v>43.250976</v>
      </c>
      <c r="F20" s="2">
        <f t="shared" si="4"/>
        <v>0.003030444285</v>
      </c>
      <c r="G20" s="2">
        <f t="shared" si="5"/>
        <v>0.4091099785</v>
      </c>
      <c r="H20" s="2">
        <f t="shared" si="6"/>
        <v>0.4545666428</v>
      </c>
      <c r="I20" s="2">
        <f t="shared" si="7"/>
        <v>0.3884034969</v>
      </c>
      <c r="J20" s="2">
        <f t="shared" si="8"/>
        <v>61.36649677</v>
      </c>
      <c r="K20" s="2">
        <f t="shared" si="9"/>
        <v>58.26052453</v>
      </c>
      <c r="L20" s="2">
        <f t="shared" si="10"/>
        <v>50.43224916</v>
      </c>
      <c r="M20" s="2">
        <f t="shared" si="11"/>
        <v>2543.411755</v>
      </c>
      <c r="N20" s="2">
        <f t="shared" si="12"/>
        <v>7.707667618</v>
      </c>
      <c r="O20" s="2">
        <f t="shared" si="13"/>
        <v>1156.150143</v>
      </c>
      <c r="P20" s="2">
        <f t="shared" si="14"/>
        <v>487.6189486</v>
      </c>
      <c r="Q20" s="3">
        <f t="shared" si="15"/>
        <v>0.9997975464</v>
      </c>
      <c r="R20" s="2">
        <f t="shared" si="16"/>
        <v>0.003029830761</v>
      </c>
      <c r="S20" s="2">
        <f t="shared" si="17"/>
        <v>0.4544746141</v>
      </c>
      <c r="T20" s="2">
        <f t="shared" si="18"/>
        <v>0.3883729336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>
      <c r="A21" s="3">
        <v>53.36</v>
      </c>
      <c r="B21" s="2">
        <f t="shared" si="19"/>
        <v>150</v>
      </c>
      <c r="C21" s="2">
        <f t="shared" si="1"/>
        <v>0.3203776</v>
      </c>
      <c r="D21" s="2">
        <f t="shared" si="2"/>
        <v>52.862304</v>
      </c>
      <c r="E21" s="2">
        <f t="shared" si="3"/>
        <v>46.53186</v>
      </c>
      <c r="F21" s="2">
        <f t="shared" si="4"/>
        <v>0.00287706294</v>
      </c>
      <c r="G21" s="2">
        <f t="shared" si="5"/>
        <v>0.431559441</v>
      </c>
      <c r="H21" s="2">
        <f t="shared" si="6"/>
        <v>0.4747153851</v>
      </c>
      <c r="I21" s="2">
        <f t="shared" si="7"/>
        <v>0.4178665735</v>
      </c>
      <c r="J21" s="2">
        <f t="shared" si="8"/>
        <v>71.20730776</v>
      </c>
      <c r="K21" s="2">
        <f t="shared" si="9"/>
        <v>68.94798462</v>
      </c>
      <c r="L21" s="2">
        <f t="shared" si="10"/>
        <v>35.43224916</v>
      </c>
      <c r="M21" s="2">
        <f t="shared" si="11"/>
        <v>1255.44428</v>
      </c>
      <c r="N21" s="2">
        <f t="shared" si="12"/>
        <v>3.611992212</v>
      </c>
      <c r="O21" s="2">
        <f t="shared" si="13"/>
        <v>595.9787149</v>
      </c>
      <c r="P21" s="2">
        <f t="shared" si="14"/>
        <v>174.4496022</v>
      </c>
      <c r="Q21" s="3">
        <f t="shared" si="15"/>
        <v>0.9999213104</v>
      </c>
      <c r="R21" s="2">
        <f t="shared" si="16"/>
        <v>0.002876836545</v>
      </c>
      <c r="S21" s="2">
        <f t="shared" si="17"/>
        <v>0.4746780299</v>
      </c>
      <c r="T21" s="2">
        <f t="shared" si="18"/>
        <v>0.417853793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3">
        <v>51.64</v>
      </c>
      <c r="B22" s="2">
        <f t="shared" si="19"/>
        <v>165</v>
      </c>
      <c r="C22" s="2">
        <f t="shared" si="1"/>
        <v>0.3102124</v>
      </c>
      <c r="D22" s="2">
        <f t="shared" si="2"/>
        <v>55.838232</v>
      </c>
      <c r="E22" s="2">
        <f t="shared" si="3"/>
        <v>49.1859885</v>
      </c>
      <c r="F22" s="2">
        <f t="shared" si="4"/>
        <v>0.002785777156</v>
      </c>
      <c r="G22" s="2">
        <f t="shared" si="5"/>
        <v>0.4596532308</v>
      </c>
      <c r="H22" s="2">
        <f t="shared" si="6"/>
        <v>0.5014398882</v>
      </c>
      <c r="I22" s="2">
        <f t="shared" si="7"/>
        <v>0.4417012446</v>
      </c>
      <c r="J22" s="2">
        <f t="shared" si="8"/>
        <v>82.73758155</v>
      </c>
      <c r="K22" s="2">
        <f t="shared" si="9"/>
        <v>79.50622403</v>
      </c>
      <c r="L22" s="2">
        <f t="shared" si="10"/>
        <v>20.43224916</v>
      </c>
      <c r="M22" s="2">
        <f t="shared" si="11"/>
        <v>417.4768056</v>
      </c>
      <c r="N22" s="2">
        <f t="shared" si="12"/>
        <v>1.162997348</v>
      </c>
      <c r="O22" s="2">
        <f t="shared" si="13"/>
        <v>209.3395227</v>
      </c>
      <c r="P22" s="2">
        <f t="shared" si="14"/>
        <v>13.03430818</v>
      </c>
      <c r="Q22" s="3">
        <f t="shared" si="15"/>
        <v>0.999969415</v>
      </c>
      <c r="R22" s="2">
        <f t="shared" si="16"/>
        <v>0.002785691953</v>
      </c>
      <c r="S22" s="2">
        <f t="shared" si="17"/>
        <v>0.5014245516</v>
      </c>
      <c r="T22" s="2">
        <f t="shared" si="18"/>
        <v>0.4416959938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3">
        <v>49.59</v>
      </c>
      <c r="B23" s="2">
        <f t="shared" si="19"/>
        <v>180</v>
      </c>
      <c r="C23" s="2">
        <f t="shared" si="1"/>
        <v>0.2980969</v>
      </c>
      <c r="D23" s="2">
        <f t="shared" si="2"/>
        <v>58.1288955</v>
      </c>
      <c r="E23" s="2">
        <f t="shared" si="3"/>
        <v>51.64686</v>
      </c>
      <c r="F23" s="2">
        <f t="shared" si="4"/>
        <v>0.00267697724</v>
      </c>
      <c r="G23" s="2">
        <f t="shared" si="5"/>
        <v>0.4818559032</v>
      </c>
      <c r="H23" s="2">
        <f t="shared" si="6"/>
        <v>0.5220105618</v>
      </c>
      <c r="I23" s="2">
        <f t="shared" si="7"/>
        <v>0.4638004244</v>
      </c>
      <c r="J23" s="2">
        <f t="shared" si="8"/>
        <v>93.96190113</v>
      </c>
      <c r="K23" s="2">
        <f t="shared" si="9"/>
        <v>90.44108277</v>
      </c>
      <c r="L23" s="2">
        <f t="shared" si="10"/>
        <v>5.432249156</v>
      </c>
      <c r="M23" s="2">
        <f t="shared" si="11"/>
        <v>29.50933089</v>
      </c>
      <c r="N23" s="2">
        <f t="shared" si="12"/>
        <v>0.07899580717</v>
      </c>
      <c r="O23" s="2">
        <f t="shared" si="13"/>
        <v>15.4041824</v>
      </c>
      <c r="P23" s="2">
        <f t="shared" si="14"/>
        <v>42.45715177</v>
      </c>
      <c r="Q23" s="3">
        <f t="shared" si="15"/>
        <v>0.9999881122</v>
      </c>
      <c r="R23" s="2">
        <f t="shared" si="16"/>
        <v>0.002676945417</v>
      </c>
      <c r="S23" s="2">
        <f t="shared" si="17"/>
        <v>0.5220043563</v>
      </c>
      <c r="T23" s="2">
        <f t="shared" si="18"/>
        <v>0.4637982814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3">
        <v>47.7</v>
      </c>
      <c r="B24" s="2">
        <f t="shared" si="19"/>
        <v>195</v>
      </c>
      <c r="C24" s="2">
        <f t="shared" si="1"/>
        <v>0.286927</v>
      </c>
      <c r="D24" s="2">
        <f t="shared" si="2"/>
        <v>60.25467</v>
      </c>
      <c r="E24" s="2">
        <f t="shared" si="3"/>
        <v>53.738061</v>
      </c>
      <c r="F24" s="2">
        <f t="shared" si="4"/>
        <v>0.002576669025</v>
      </c>
      <c r="G24" s="2">
        <f t="shared" si="5"/>
        <v>0.5024504598</v>
      </c>
      <c r="H24" s="2">
        <f t="shared" si="6"/>
        <v>0.5411004952</v>
      </c>
      <c r="I24" s="2">
        <f t="shared" si="7"/>
        <v>0.48257988</v>
      </c>
      <c r="J24" s="2">
        <f t="shared" si="8"/>
        <v>105.5145966</v>
      </c>
      <c r="K24" s="2">
        <f t="shared" si="9"/>
        <v>101.3417748</v>
      </c>
      <c r="L24" s="2">
        <f t="shared" si="10"/>
        <v>9.567750844</v>
      </c>
      <c r="M24" s="2">
        <f t="shared" si="11"/>
        <v>91.54185621</v>
      </c>
      <c r="N24" s="2">
        <f t="shared" si="12"/>
        <v>0.2358730654</v>
      </c>
      <c r="O24" s="2">
        <f t="shared" si="13"/>
        <v>49.53334373</v>
      </c>
      <c r="P24" s="2">
        <f t="shared" si="14"/>
        <v>291.2728526</v>
      </c>
      <c r="Q24" s="3">
        <f t="shared" si="15"/>
        <v>0.9999953795</v>
      </c>
      <c r="R24" s="2">
        <f t="shared" si="16"/>
        <v>0.002576657119</v>
      </c>
      <c r="S24" s="2">
        <f t="shared" si="17"/>
        <v>0.541097995</v>
      </c>
      <c r="T24" s="2">
        <f t="shared" si="18"/>
        <v>0.4825790133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3">
        <v>45.78</v>
      </c>
      <c r="B25" s="2">
        <f t="shared" si="19"/>
        <v>210</v>
      </c>
      <c r="C25" s="2">
        <f t="shared" si="1"/>
        <v>0.2755798</v>
      </c>
      <c r="D25" s="2">
        <f t="shared" si="2"/>
        <v>62.005455</v>
      </c>
      <c r="E25" s="2">
        <f t="shared" si="3"/>
        <v>55.240626</v>
      </c>
      <c r="F25" s="2">
        <f t="shared" si="4"/>
        <v>0.002474768615</v>
      </c>
      <c r="G25" s="2">
        <f t="shared" si="5"/>
        <v>0.5197014092</v>
      </c>
      <c r="H25" s="2">
        <f t="shared" si="6"/>
        <v>0.5568229385</v>
      </c>
      <c r="I25" s="2">
        <f t="shared" si="7"/>
        <v>0.4960732518</v>
      </c>
      <c r="J25" s="2">
        <f t="shared" si="8"/>
        <v>116.9328171</v>
      </c>
      <c r="K25" s="2">
        <f t="shared" si="9"/>
        <v>111.6164817</v>
      </c>
      <c r="L25" s="2">
        <f t="shared" si="10"/>
        <v>24.56775084</v>
      </c>
      <c r="M25" s="2">
        <f t="shared" si="11"/>
        <v>603.5743815</v>
      </c>
      <c r="N25" s="2">
        <f t="shared" si="12"/>
        <v>1.493706936</v>
      </c>
      <c r="O25" s="2">
        <f t="shared" si="13"/>
        <v>336.0840607</v>
      </c>
      <c r="P25" s="2">
        <f t="shared" si="14"/>
        <v>776.6557093</v>
      </c>
      <c r="Q25" s="3">
        <f t="shared" si="15"/>
        <v>0.9999982041</v>
      </c>
      <c r="R25" s="2">
        <f t="shared" si="16"/>
        <v>0.002474764171</v>
      </c>
      <c r="S25" s="2">
        <f t="shared" si="17"/>
        <v>0.5568219385</v>
      </c>
      <c r="T25" s="2">
        <f t="shared" si="18"/>
        <v>0.4960729055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3">
        <v>43.66</v>
      </c>
      <c r="B26" s="2">
        <f t="shared" si="19"/>
        <v>225</v>
      </c>
      <c r="C26" s="2">
        <f t="shared" si="1"/>
        <v>0.2630506</v>
      </c>
      <c r="D26" s="2">
        <f t="shared" si="2"/>
        <v>63.132144</v>
      </c>
      <c r="E26" s="2">
        <f t="shared" si="3"/>
        <v>57.0720825</v>
      </c>
      <c r="F26" s="2">
        <f t="shared" si="4"/>
        <v>0.00236225358</v>
      </c>
      <c r="G26" s="2">
        <f t="shared" si="5"/>
        <v>0.5315070555</v>
      </c>
      <c r="H26" s="2">
        <f t="shared" si="6"/>
        <v>0.5669408592</v>
      </c>
      <c r="I26" s="2">
        <f t="shared" si="7"/>
        <v>0.5125201433</v>
      </c>
      <c r="J26" s="2">
        <f t="shared" si="8"/>
        <v>127.5616933</v>
      </c>
      <c r="K26" s="2">
        <f t="shared" si="9"/>
        <v>123.0048344</v>
      </c>
      <c r="L26" s="2">
        <f t="shared" si="10"/>
        <v>39.56775084</v>
      </c>
      <c r="M26" s="2">
        <f t="shared" si="11"/>
        <v>1565.606907</v>
      </c>
      <c r="N26" s="2">
        <f t="shared" si="12"/>
        <v>3.698360521</v>
      </c>
      <c r="O26" s="2">
        <f t="shared" si="13"/>
        <v>887.6065249</v>
      </c>
      <c r="P26" s="2">
        <f t="shared" si="14"/>
        <v>1526.100188</v>
      </c>
      <c r="Q26" s="3">
        <f t="shared" si="15"/>
        <v>0.999999302</v>
      </c>
      <c r="R26" s="2">
        <f t="shared" si="16"/>
        <v>0.002362251931</v>
      </c>
      <c r="S26" s="2">
        <f t="shared" si="17"/>
        <v>0.5669404635</v>
      </c>
      <c r="T26" s="2">
        <f t="shared" si="18"/>
        <v>0.5125200042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3">
        <v>42.07</v>
      </c>
      <c r="B27" s="2">
        <f t="shared" si="19"/>
        <v>240</v>
      </c>
      <c r="C27" s="2">
        <f t="shared" si="1"/>
        <v>0.2536537</v>
      </c>
      <c r="D27" s="2">
        <f t="shared" si="2"/>
        <v>64.6816935</v>
      </c>
      <c r="E27" s="2">
        <f t="shared" si="3"/>
        <v>58.593264</v>
      </c>
      <c r="F27" s="2">
        <f t="shared" si="4"/>
        <v>0.002277867304</v>
      </c>
      <c r="G27" s="2">
        <f t="shared" si="5"/>
        <v>0.5466881528</v>
      </c>
      <c r="H27" s="2">
        <f t="shared" si="6"/>
        <v>0.5808561624</v>
      </c>
      <c r="I27" s="2">
        <f t="shared" si="7"/>
        <v>0.5261806955</v>
      </c>
      <c r="J27" s="2">
        <f t="shared" si="8"/>
        <v>139.405479</v>
      </c>
      <c r="K27" s="2">
        <f t="shared" si="9"/>
        <v>134.1760773</v>
      </c>
      <c r="L27" s="2">
        <f t="shared" si="10"/>
        <v>54.56775084</v>
      </c>
      <c r="M27" s="2">
        <f t="shared" si="11"/>
        <v>2977.639432</v>
      </c>
      <c r="N27" s="2">
        <f t="shared" si="12"/>
        <v>6.782667504</v>
      </c>
      <c r="O27" s="2">
        <f t="shared" si="13"/>
        <v>1729.580214</v>
      </c>
      <c r="P27" s="2">
        <f t="shared" si="14"/>
        <v>2546.541956</v>
      </c>
      <c r="Q27" s="3">
        <f t="shared" si="15"/>
        <v>0.9999997287</v>
      </c>
      <c r="R27" s="2">
        <f t="shared" si="16"/>
        <v>0.002277866686</v>
      </c>
      <c r="S27" s="2">
        <f t="shared" si="17"/>
        <v>0.5808560048</v>
      </c>
      <c r="T27" s="2">
        <f t="shared" si="18"/>
        <v>0.52618064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3">
        <v>40.46</v>
      </c>
      <c r="B28" s="2">
        <f t="shared" si="19"/>
        <v>255</v>
      </c>
      <c r="C28" s="2">
        <f t="shared" si="1"/>
        <v>0.2441386</v>
      </c>
      <c r="D28" s="2">
        <f t="shared" si="2"/>
        <v>65.917422</v>
      </c>
      <c r="E28" s="2">
        <f t="shared" si="3"/>
        <v>59.422089</v>
      </c>
      <c r="F28" s="2">
        <f t="shared" si="4"/>
        <v>0.002192419564</v>
      </c>
      <c r="G28" s="2">
        <f t="shared" si="5"/>
        <v>0.5590669889</v>
      </c>
      <c r="H28" s="2">
        <f t="shared" si="6"/>
        <v>0.5919532824</v>
      </c>
      <c r="I28" s="2">
        <f t="shared" si="7"/>
        <v>0.5336237305</v>
      </c>
      <c r="J28" s="2">
        <f t="shared" si="8"/>
        <v>150.948087</v>
      </c>
      <c r="K28" s="2">
        <f t="shared" si="9"/>
        <v>144.0784072</v>
      </c>
      <c r="L28" s="2">
        <f t="shared" si="10"/>
        <v>69.56775084</v>
      </c>
      <c r="M28" s="2">
        <f t="shared" si="11"/>
        <v>4839.671958</v>
      </c>
      <c r="N28" s="2">
        <f t="shared" si="12"/>
        <v>10.61059148</v>
      </c>
      <c r="O28" s="2">
        <f t="shared" si="13"/>
        <v>2864.859701</v>
      </c>
      <c r="P28" s="2">
        <f t="shared" si="14"/>
        <v>3816.319225</v>
      </c>
      <c r="Q28" s="3">
        <f t="shared" si="15"/>
        <v>0.9999998945</v>
      </c>
      <c r="R28" s="2">
        <f t="shared" si="16"/>
        <v>0.002192419333</v>
      </c>
      <c r="S28" s="2">
        <f t="shared" si="17"/>
        <v>0.59195322</v>
      </c>
      <c r="T28" s="2">
        <f t="shared" si="18"/>
        <v>0.5336237086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3">
        <v>38.58</v>
      </c>
      <c r="B29" s="2">
        <f t="shared" si="19"/>
        <v>270</v>
      </c>
      <c r="C29" s="2">
        <f t="shared" si="1"/>
        <v>0.2330278</v>
      </c>
      <c r="D29" s="2">
        <f t="shared" si="2"/>
        <v>66.412923</v>
      </c>
      <c r="E29" s="2">
        <f t="shared" si="3"/>
        <v>59.263353</v>
      </c>
      <c r="F29" s="2">
        <f t="shared" si="4"/>
        <v>0.00209264208</v>
      </c>
      <c r="G29" s="2">
        <f t="shared" si="5"/>
        <v>0.5650133617</v>
      </c>
      <c r="H29" s="2">
        <f t="shared" si="6"/>
        <v>0.5964029929</v>
      </c>
      <c r="I29" s="2">
        <f t="shared" si="7"/>
        <v>0.5321982455</v>
      </c>
      <c r="J29" s="2">
        <f t="shared" si="8"/>
        <v>161.0288081</v>
      </c>
      <c r="K29" s="2">
        <f t="shared" si="9"/>
        <v>151.6765</v>
      </c>
      <c r="L29" s="2">
        <f t="shared" si="10"/>
        <v>84.56775084</v>
      </c>
      <c r="M29" s="2">
        <f t="shared" si="11"/>
        <v>7151.704483</v>
      </c>
      <c r="N29" s="2">
        <f t="shared" si="12"/>
        <v>14.96595775</v>
      </c>
      <c r="O29" s="2">
        <f t="shared" si="13"/>
        <v>4265.297958</v>
      </c>
      <c r="P29" s="2">
        <f t="shared" si="14"/>
        <v>5276.073442</v>
      </c>
      <c r="Q29" s="3">
        <f t="shared" si="15"/>
        <v>0.999999959</v>
      </c>
      <c r="R29" s="2">
        <f t="shared" si="16"/>
        <v>0.002092641994</v>
      </c>
      <c r="S29" s="2">
        <f t="shared" si="17"/>
        <v>0.5964029684</v>
      </c>
      <c r="T29" s="2">
        <f t="shared" si="18"/>
        <v>0.532198237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3">
        <v>36.29</v>
      </c>
      <c r="B30" s="2">
        <f t="shared" si="19"/>
        <v>285</v>
      </c>
      <c r="C30" s="2">
        <f t="shared" si="1"/>
        <v>0.2194939</v>
      </c>
      <c r="D30" s="2">
        <f t="shared" si="2"/>
        <v>65.84817</v>
      </c>
      <c r="E30" s="2">
        <f t="shared" si="3"/>
        <v>61.6798995</v>
      </c>
      <c r="F30" s="2">
        <f t="shared" si="4"/>
        <v>0.001971104613</v>
      </c>
      <c r="G30" s="2">
        <f t="shared" si="5"/>
        <v>0.5617648147</v>
      </c>
      <c r="H30" s="2">
        <f t="shared" si="6"/>
        <v>0.5913313838</v>
      </c>
      <c r="I30" s="2">
        <f t="shared" si="7"/>
        <v>0.5538993768</v>
      </c>
      <c r="J30" s="2">
        <f t="shared" si="8"/>
        <v>168.5294444</v>
      </c>
      <c r="K30" s="2">
        <f t="shared" si="9"/>
        <v>166.169813</v>
      </c>
      <c r="L30" s="2">
        <f t="shared" si="10"/>
        <v>99.56775084</v>
      </c>
      <c r="M30" s="2">
        <f t="shared" si="11"/>
        <v>9913.737008</v>
      </c>
      <c r="N30" s="2">
        <f t="shared" si="12"/>
        <v>19.54101275</v>
      </c>
      <c r="O30" s="2">
        <f t="shared" si="13"/>
        <v>5862.303824</v>
      </c>
      <c r="P30" s="2">
        <f t="shared" si="14"/>
        <v>7270.355565</v>
      </c>
      <c r="Q30" s="3">
        <f t="shared" si="15"/>
        <v>0.9999999841</v>
      </c>
      <c r="R30" s="2">
        <f t="shared" si="16"/>
        <v>0.001971104581</v>
      </c>
      <c r="S30" s="2">
        <f t="shared" si="17"/>
        <v>0.5913313744</v>
      </c>
      <c r="T30" s="2">
        <f t="shared" si="18"/>
        <v>0.5538993734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3">
        <v>35.77</v>
      </c>
      <c r="B31" s="2">
        <f t="shared" si="19"/>
        <v>300</v>
      </c>
      <c r="C31" s="2">
        <f t="shared" si="1"/>
        <v>0.2164207</v>
      </c>
      <c r="D31" s="2">
        <f t="shared" si="2"/>
        <v>68.1725205</v>
      </c>
      <c r="E31" s="2">
        <f t="shared" si="3"/>
        <v>64.55388</v>
      </c>
      <c r="F31" s="2">
        <f t="shared" si="4"/>
        <v>0.001943506585</v>
      </c>
      <c r="G31" s="2">
        <f t="shared" si="5"/>
        <v>0.5830519756</v>
      </c>
      <c r="H31" s="2">
        <f t="shared" si="6"/>
        <v>0.6122045744</v>
      </c>
      <c r="I31" s="2">
        <f t="shared" si="7"/>
        <v>0.5797083684</v>
      </c>
      <c r="J31" s="2">
        <f t="shared" si="8"/>
        <v>183.6613723</v>
      </c>
      <c r="K31" s="2">
        <f t="shared" si="9"/>
        <v>182.608136</v>
      </c>
      <c r="L31" s="2">
        <f t="shared" si="10"/>
        <v>114.5677508</v>
      </c>
      <c r="M31" s="2">
        <f t="shared" si="11"/>
        <v>13125.76953</v>
      </c>
      <c r="N31" s="2">
        <f t="shared" si="12"/>
        <v>25.51001953</v>
      </c>
      <c r="O31" s="2">
        <f t="shared" si="13"/>
        <v>8035.65615</v>
      </c>
      <c r="P31" s="2">
        <f t="shared" si="14"/>
        <v>9732.029341</v>
      </c>
      <c r="Q31" s="3">
        <f t="shared" si="15"/>
        <v>0.9999999938</v>
      </c>
      <c r="R31" s="2">
        <f t="shared" si="16"/>
        <v>0.001943506573</v>
      </c>
      <c r="S31" s="2">
        <f t="shared" si="17"/>
        <v>0.6122045706</v>
      </c>
      <c r="T31" s="2">
        <f t="shared" si="18"/>
        <v>0.579708367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3">
        <v>35.56</v>
      </c>
      <c r="B32" s="2">
        <f t="shared" si="19"/>
        <v>315</v>
      </c>
      <c r="C32" s="2">
        <f t="shared" si="1"/>
        <v>0.2151796</v>
      </c>
      <c r="D32" s="2">
        <f t="shared" si="2"/>
        <v>71.009268</v>
      </c>
      <c r="E32" s="2">
        <f t="shared" si="3"/>
        <v>64.1141235</v>
      </c>
      <c r="F32" s="2">
        <f t="shared" si="4"/>
        <v>0.001932361228</v>
      </c>
      <c r="G32" s="2">
        <f t="shared" si="5"/>
        <v>0.6086937868</v>
      </c>
      <c r="H32" s="2">
        <f t="shared" si="6"/>
        <v>0.6376792052</v>
      </c>
      <c r="I32" s="2">
        <f t="shared" si="7"/>
        <v>0.5757592561</v>
      </c>
      <c r="J32" s="2">
        <f t="shared" si="8"/>
        <v>200.8689497</v>
      </c>
      <c r="K32" s="2">
        <f t="shared" si="9"/>
        <v>190.0005545</v>
      </c>
      <c r="L32" s="2">
        <f t="shared" si="10"/>
        <v>129.5677508</v>
      </c>
      <c r="M32" s="2">
        <f t="shared" si="11"/>
        <v>16787.80206</v>
      </c>
      <c r="N32" s="2">
        <f t="shared" si="12"/>
        <v>32.4400978</v>
      </c>
      <c r="O32" s="2">
        <f t="shared" si="13"/>
        <v>10705.23227</v>
      </c>
      <c r="P32" s="2">
        <f t="shared" si="14"/>
        <v>12033.27321</v>
      </c>
      <c r="Q32" s="3">
        <f t="shared" si="15"/>
        <v>0.9999999976</v>
      </c>
      <c r="R32" s="2">
        <f t="shared" si="16"/>
        <v>0.001932361223</v>
      </c>
      <c r="S32" s="2">
        <f t="shared" si="17"/>
        <v>0.6376792037</v>
      </c>
      <c r="T32" s="2">
        <f t="shared" si="18"/>
        <v>0.5757592555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>
      <c r="A33" s="3">
        <v>33.59</v>
      </c>
      <c r="B33" s="2">
        <f t="shared" si="19"/>
        <v>330</v>
      </c>
      <c r="C33" s="2">
        <f t="shared" si="1"/>
        <v>0.2035369</v>
      </c>
      <c r="D33" s="2">
        <f t="shared" si="2"/>
        <v>70.2202305</v>
      </c>
      <c r="E33" s="2">
        <f t="shared" si="3"/>
        <v>62.408445</v>
      </c>
      <c r="F33" s="2">
        <f t="shared" si="4"/>
        <v>0.001827807162</v>
      </c>
      <c r="G33" s="2">
        <f t="shared" si="5"/>
        <v>0.6031763635</v>
      </c>
      <c r="H33" s="2">
        <f t="shared" si="6"/>
        <v>0.6305934709</v>
      </c>
      <c r="I33" s="2">
        <f t="shared" si="7"/>
        <v>0.5604418793</v>
      </c>
      <c r="J33" s="2">
        <f t="shared" si="8"/>
        <v>208.0958454</v>
      </c>
      <c r="K33" s="2">
        <f t="shared" si="9"/>
        <v>193.3524484</v>
      </c>
      <c r="L33" s="2">
        <f t="shared" si="10"/>
        <v>144.5677508</v>
      </c>
      <c r="M33" s="2">
        <f t="shared" si="11"/>
        <v>20899.83458</v>
      </c>
      <c r="N33" s="2">
        <f t="shared" si="12"/>
        <v>38.20086734</v>
      </c>
      <c r="O33" s="2">
        <f t="shared" si="13"/>
        <v>13179.29923</v>
      </c>
      <c r="P33" s="2">
        <f t="shared" si="14"/>
        <v>14269.89665</v>
      </c>
      <c r="Q33" s="3">
        <f t="shared" si="15"/>
        <v>0.9999999991</v>
      </c>
      <c r="R33" s="2">
        <f t="shared" si="16"/>
        <v>0.00182780716</v>
      </c>
      <c r="S33" s="2">
        <f t="shared" si="17"/>
        <v>0.6305934704</v>
      </c>
      <c r="T33" s="2">
        <f t="shared" si="18"/>
        <v>0.5604418791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>
      <c r="A34" s="3">
        <v>31.15</v>
      </c>
      <c r="B34" s="2">
        <f t="shared" si="19"/>
        <v>345</v>
      </c>
      <c r="C34" s="2">
        <f t="shared" si="1"/>
        <v>0.1891165</v>
      </c>
      <c r="D34" s="2">
        <f t="shared" si="2"/>
        <v>68.08194</v>
      </c>
      <c r="E34" s="2">
        <f t="shared" si="3"/>
        <v>65.020908</v>
      </c>
      <c r="F34" s="2">
        <f t="shared" si="4"/>
        <v>0.001698308725</v>
      </c>
      <c r="G34" s="2">
        <f t="shared" si="5"/>
        <v>0.5859165102</v>
      </c>
      <c r="H34" s="2">
        <f t="shared" si="6"/>
        <v>0.6113911411</v>
      </c>
      <c r="I34" s="2">
        <f t="shared" si="7"/>
        <v>0.5839023849</v>
      </c>
      <c r="J34" s="2">
        <f t="shared" si="8"/>
        <v>210.9299437</v>
      </c>
      <c r="K34" s="2">
        <f t="shared" si="9"/>
        <v>210.2048586</v>
      </c>
      <c r="L34" s="2">
        <f t="shared" si="10"/>
        <v>159.5677508</v>
      </c>
      <c r="M34" s="2">
        <f t="shared" si="11"/>
        <v>25461.86711</v>
      </c>
      <c r="N34" s="2">
        <f t="shared" si="12"/>
        <v>43.24211107</v>
      </c>
      <c r="O34" s="2">
        <f t="shared" si="13"/>
        <v>15567.15999</v>
      </c>
      <c r="P34" s="2">
        <f t="shared" si="14"/>
        <v>17793.78268</v>
      </c>
      <c r="Q34" s="3">
        <f t="shared" si="15"/>
        <v>0.9999999996</v>
      </c>
      <c r="R34" s="2">
        <f t="shared" si="16"/>
        <v>0.001698308725</v>
      </c>
      <c r="S34" s="2">
        <f t="shared" si="17"/>
        <v>0.6113911409</v>
      </c>
      <c r="T34" s="2">
        <f t="shared" si="18"/>
        <v>0.5839023849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3">
        <v>31.04</v>
      </c>
      <c r="B35" s="2">
        <f t="shared" si="19"/>
        <v>360</v>
      </c>
      <c r="C35" s="2">
        <f t="shared" si="1"/>
        <v>0.1884664</v>
      </c>
      <c r="D35" s="2">
        <f t="shared" si="2"/>
        <v>70.6749</v>
      </c>
      <c r="E35" s="2">
        <f t="shared" si="3"/>
        <v>61.48638</v>
      </c>
      <c r="F35" s="2">
        <f t="shared" si="4"/>
        <v>0.001692470681</v>
      </c>
      <c r="G35" s="2">
        <f t="shared" si="5"/>
        <v>0.6092894452</v>
      </c>
      <c r="H35" s="2">
        <f t="shared" si="6"/>
        <v>0.6346765054</v>
      </c>
      <c r="I35" s="2">
        <f t="shared" si="7"/>
        <v>0.5521615282</v>
      </c>
      <c r="J35" s="2">
        <f t="shared" si="8"/>
        <v>228.4835419</v>
      </c>
      <c r="K35" s="2">
        <f t="shared" si="9"/>
        <v>207.0605731</v>
      </c>
      <c r="L35" s="2">
        <f t="shared" si="10"/>
        <v>174.5677508</v>
      </c>
      <c r="M35" s="2">
        <f t="shared" si="11"/>
        <v>30473.89963</v>
      </c>
      <c r="N35" s="2">
        <f t="shared" si="12"/>
        <v>51.57618167</v>
      </c>
      <c r="O35" s="2">
        <f t="shared" si="13"/>
        <v>19341.06813</v>
      </c>
      <c r="P35" s="2">
        <f t="shared" si="14"/>
        <v>19842.43922</v>
      </c>
      <c r="Q35" s="3">
        <f t="shared" si="15"/>
        <v>0.9999999999</v>
      </c>
      <c r="R35" s="2">
        <f t="shared" si="16"/>
        <v>0.001692470681</v>
      </c>
      <c r="S35" s="2">
        <f t="shared" si="17"/>
        <v>0.6346765053</v>
      </c>
      <c r="T35" s="2">
        <f t="shared" si="18"/>
        <v>0.5521615281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>
      <c r="A36" s="3">
        <v>28.05</v>
      </c>
      <c r="B36" s="2">
        <f t="shared" si="19"/>
        <v>375</v>
      </c>
      <c r="C36" s="2">
        <f t="shared" si="1"/>
        <v>0.1707955</v>
      </c>
      <c r="D36" s="2">
        <f t="shared" si="2"/>
        <v>66.610245</v>
      </c>
      <c r="E36" s="2">
        <f t="shared" si="3"/>
        <v>61.18935</v>
      </c>
      <c r="F36" s="2">
        <f t="shared" si="4"/>
        <v>0.001533782023</v>
      </c>
      <c r="G36" s="2">
        <f t="shared" si="5"/>
        <v>0.5751682585</v>
      </c>
      <c r="H36" s="2">
        <f t="shared" si="6"/>
        <v>0.5981749888</v>
      </c>
      <c r="I36" s="2">
        <f t="shared" si="7"/>
        <v>0.5494941319</v>
      </c>
      <c r="J36" s="2">
        <f t="shared" si="8"/>
        <v>224.3156208</v>
      </c>
      <c r="K36" s="2">
        <f t="shared" si="9"/>
        <v>214.3027114</v>
      </c>
      <c r="L36" s="2">
        <f t="shared" si="10"/>
        <v>189.5677508</v>
      </c>
      <c r="M36" s="2">
        <f t="shared" si="11"/>
        <v>35935.93216</v>
      </c>
      <c r="N36" s="2">
        <f t="shared" si="12"/>
        <v>55.11788671</v>
      </c>
      <c r="O36" s="2">
        <f t="shared" si="13"/>
        <v>21495.97582</v>
      </c>
      <c r="P36" s="2">
        <f t="shared" si="14"/>
        <v>22995.21103</v>
      </c>
      <c r="Q36" s="3">
        <f t="shared" si="15"/>
        <v>0.9999999999</v>
      </c>
      <c r="R36" s="2">
        <f t="shared" si="16"/>
        <v>0.001533782023</v>
      </c>
      <c r="S36" s="2">
        <f t="shared" si="17"/>
        <v>0.5981749888</v>
      </c>
      <c r="T36" s="2">
        <f t="shared" si="18"/>
        <v>0.5494941319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>
      <c r="A37" s="3">
        <v>26.76</v>
      </c>
      <c r="B37" s="2">
        <f t="shared" si="19"/>
        <v>390</v>
      </c>
      <c r="C37" s="2">
        <f t="shared" si="1"/>
        <v>0.1631716</v>
      </c>
      <c r="D37" s="2">
        <f t="shared" si="2"/>
        <v>66.084498</v>
      </c>
      <c r="E37" s="2">
        <f t="shared" si="3"/>
        <v>61.954347</v>
      </c>
      <c r="F37" s="2">
        <f t="shared" si="4"/>
        <v>0.001465317685</v>
      </c>
      <c r="G37" s="2">
        <f t="shared" si="5"/>
        <v>0.5714738972</v>
      </c>
      <c r="H37" s="2">
        <f t="shared" si="6"/>
        <v>0.5934536625</v>
      </c>
      <c r="I37" s="2">
        <f t="shared" si="7"/>
        <v>0.5563639771</v>
      </c>
      <c r="J37" s="2">
        <f t="shared" si="8"/>
        <v>231.4469284</v>
      </c>
      <c r="K37" s="2">
        <f t="shared" si="9"/>
        <v>225.3274107</v>
      </c>
      <c r="L37" s="2">
        <f t="shared" si="10"/>
        <v>204.5677508</v>
      </c>
      <c r="M37" s="2">
        <f t="shared" si="11"/>
        <v>41847.96469</v>
      </c>
      <c r="N37" s="2">
        <f t="shared" si="12"/>
        <v>61.32056274</v>
      </c>
      <c r="O37" s="2">
        <f t="shared" si="13"/>
        <v>24834.82791</v>
      </c>
      <c r="P37" s="2">
        <f t="shared" si="14"/>
        <v>26822.30578</v>
      </c>
      <c r="Q37" s="3">
        <f t="shared" si="15"/>
        <v>1</v>
      </c>
      <c r="R37" s="2">
        <f t="shared" si="16"/>
        <v>0.001465317685</v>
      </c>
      <c r="S37" s="2">
        <f t="shared" si="17"/>
        <v>0.5934536625</v>
      </c>
      <c r="T37" s="2">
        <f t="shared" si="18"/>
        <v>0.5563639771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>
      <c r="A38" s="3">
        <v>26.03</v>
      </c>
      <c r="B38" s="2">
        <f t="shared" si="19"/>
        <v>405</v>
      </c>
      <c r="C38" s="2">
        <f t="shared" si="1"/>
        <v>0.1588573</v>
      </c>
      <c r="D38" s="2">
        <f t="shared" si="2"/>
        <v>66.720066</v>
      </c>
      <c r="E38" s="2">
        <f t="shared" si="3"/>
        <v>64.3372065</v>
      </c>
      <c r="F38" s="2">
        <f t="shared" si="4"/>
        <v>0.0014265743</v>
      </c>
      <c r="G38" s="2">
        <f t="shared" si="5"/>
        <v>0.5777625916</v>
      </c>
      <c r="H38" s="2">
        <f t="shared" si="6"/>
        <v>0.5991612061</v>
      </c>
      <c r="I38" s="2">
        <f t="shared" si="7"/>
        <v>0.5777625916</v>
      </c>
      <c r="J38" s="2">
        <f t="shared" si="8"/>
        <v>242.6602885</v>
      </c>
      <c r="K38" s="2">
        <f t="shared" si="9"/>
        <v>242.6602885</v>
      </c>
      <c r="L38" s="2">
        <f t="shared" si="10"/>
        <v>219.5677508</v>
      </c>
      <c r="M38" s="2">
        <f t="shared" si="11"/>
        <v>48209.99721</v>
      </c>
      <c r="N38" s="2">
        <f t="shared" si="12"/>
        <v>68.77514304</v>
      </c>
      <c r="O38" s="2">
        <f t="shared" si="13"/>
        <v>28885.56008</v>
      </c>
      <c r="P38" s="2">
        <f t="shared" si="14"/>
        <v>31789.6705</v>
      </c>
      <c r="Q38" s="3">
        <f t="shared" si="15"/>
        <v>1</v>
      </c>
      <c r="R38" s="2">
        <f t="shared" si="16"/>
        <v>0.0014265743</v>
      </c>
      <c r="S38" s="2">
        <f t="shared" si="17"/>
        <v>0.5991612061</v>
      </c>
      <c r="T38" s="2">
        <f t="shared" si="18"/>
        <v>0.5777625916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>
      <c r="A39" s="3">
        <v>26.03</v>
      </c>
      <c r="B39" s="2">
        <f t="shared" si="19"/>
        <v>420</v>
      </c>
      <c r="C39" s="2">
        <f t="shared" si="1"/>
        <v>0.1588573</v>
      </c>
      <c r="D39" s="2">
        <f t="shared" si="2"/>
        <v>66.720066</v>
      </c>
      <c r="E39" s="2">
        <f t="shared" si="3"/>
        <v>0</v>
      </c>
      <c r="F39" s="2">
        <f t="shared" si="4"/>
        <v>0.0014265743</v>
      </c>
      <c r="G39" s="2">
        <f t="shared" si="5"/>
        <v>0.5991612061</v>
      </c>
      <c r="H39" s="2">
        <f t="shared" si="6"/>
        <v>0.5991612061</v>
      </c>
      <c r="I39" s="2">
        <f t="shared" si="7"/>
        <v>0</v>
      </c>
      <c r="J39" s="2">
        <f t="shared" si="8"/>
        <v>251.6477066</v>
      </c>
      <c r="K39" s="2">
        <f t="shared" si="9"/>
        <v>0</v>
      </c>
      <c r="L39" s="2">
        <f t="shared" si="10"/>
        <v>234.5677508</v>
      </c>
      <c r="M39" s="2">
        <f t="shared" si="11"/>
        <v>55022.02974</v>
      </c>
      <c r="N39" s="2">
        <f t="shared" si="12"/>
        <v>78.49301357</v>
      </c>
      <c r="O39" s="2">
        <f t="shared" si="13"/>
        <v>32967.0657</v>
      </c>
      <c r="P39" s="2">
        <f t="shared" si="14"/>
        <v>0</v>
      </c>
      <c r="Q39" s="3">
        <f t="shared" si="15"/>
        <v>1</v>
      </c>
      <c r="R39" s="2">
        <f t="shared" si="16"/>
        <v>0.0014265743</v>
      </c>
      <c r="S39" s="2">
        <f t="shared" si="17"/>
        <v>0.5991612061</v>
      </c>
      <c r="T39" s="2">
        <f t="shared" si="18"/>
        <v>0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3"/>
      <c r="B40" s="3">
        <v>420.0</v>
      </c>
      <c r="C40" s="2"/>
      <c r="D40" s="2">
        <f t="shared" ref="D40:E40" si="20">SUM(D11:D39)</f>
        <v>1521.021504</v>
      </c>
      <c r="E40" s="2">
        <f t="shared" si="20"/>
        <v>1298.309936</v>
      </c>
      <c r="F40" s="2"/>
      <c r="G40" s="2"/>
      <c r="H40" s="2">
        <f t="shared" ref="H40:K40" si="21">SUM(H11:H39)</f>
        <v>13.65911537</v>
      </c>
      <c r="I40" s="2">
        <f t="shared" si="21"/>
        <v>11.65911537</v>
      </c>
      <c r="J40" s="2">
        <f t="shared" si="21"/>
        <v>3440.495697</v>
      </c>
      <c r="K40" s="2">
        <f t="shared" si="21"/>
        <v>3069.631199</v>
      </c>
      <c r="L40" s="2"/>
      <c r="M40" s="2"/>
      <c r="N40" s="2"/>
      <c r="O40" s="2">
        <f t="shared" ref="O40:P40" si="22">SUM(O11:O39)</f>
        <v>217668.4862</v>
      </c>
      <c r="P40" s="2">
        <f t="shared" si="22"/>
        <v>192426.7251</v>
      </c>
      <c r="Q40" s="3"/>
      <c r="R40" s="2"/>
      <c r="S40" s="2">
        <f t="shared" ref="S40:T40" si="23">SUM(S11:S39)</f>
        <v>13.58705747</v>
      </c>
      <c r="T40" s="2">
        <f t="shared" si="23"/>
        <v>11.63958552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2"/>
      <c r="B41" s="2"/>
      <c r="C41" s="2"/>
      <c r="D41" s="2">
        <f>D40-E40</f>
        <v>222.7115685</v>
      </c>
      <c r="E41" s="2"/>
      <c r="F41" s="2"/>
      <c r="G41" s="2"/>
      <c r="H41" s="2">
        <f>(H40-I40)</f>
        <v>2</v>
      </c>
      <c r="I41" s="2"/>
      <c r="J41" s="2"/>
      <c r="K41" s="2">
        <f>J40-K40</f>
        <v>370.8644983</v>
      </c>
      <c r="L41" s="2"/>
      <c r="M41" s="2"/>
      <c r="N41" s="2"/>
      <c r="O41" s="2"/>
      <c r="P41" s="2">
        <f>O40-P40</f>
        <v>25241.76105</v>
      </c>
      <c r="Q41" s="3"/>
      <c r="R41" s="2"/>
      <c r="S41" s="4"/>
      <c r="T41" s="2">
        <f>S40-T40</f>
        <v>1.947471954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2"/>
      <c r="B42" s="4"/>
      <c r="C42" s="1" t="s">
        <v>16</v>
      </c>
      <c r="D42" s="5">
        <f>D41/2</f>
        <v>111.3557843</v>
      </c>
      <c r="E42" s="2"/>
      <c r="F42" s="2"/>
      <c r="G42" s="1" t="s">
        <v>17</v>
      </c>
      <c r="H42" s="5">
        <f>H41/2</f>
        <v>1</v>
      </c>
      <c r="I42" s="2"/>
      <c r="J42" s="1" t="s">
        <v>18</v>
      </c>
      <c r="K42" s="5">
        <f>K41/2</f>
        <v>185.4322492</v>
      </c>
      <c r="L42" s="2"/>
      <c r="M42" s="2"/>
      <c r="N42" s="2"/>
      <c r="O42" s="1" t="s">
        <v>19</v>
      </c>
      <c r="P42" s="5">
        <f>P41/2</f>
        <v>12620.88053</v>
      </c>
      <c r="Q42" s="3"/>
      <c r="R42" s="2"/>
      <c r="S42" s="1" t="s">
        <v>20</v>
      </c>
      <c r="T42" s="5">
        <f>T41/2</f>
        <v>0.9737359771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2"/>
      <c r="B44" s="2"/>
      <c r="C44" s="2"/>
      <c r="D44" s="2"/>
      <c r="E44" s="2"/>
      <c r="F44" s="2"/>
      <c r="G44" s="1" t="s">
        <v>21</v>
      </c>
      <c r="H44" s="5">
        <f>K42/H42</f>
        <v>185.4322492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1" t="s">
        <v>22</v>
      </c>
      <c r="K46" s="5">
        <f>P42/H42</f>
        <v>12620.88053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1" t="s">
        <v>23</v>
      </c>
      <c r="K47" s="5">
        <f>SQRT(K46)</f>
        <v>112.3426924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A49" s="6" t="s">
        <v>24</v>
      </c>
      <c r="B49" s="7" t="s">
        <v>25</v>
      </c>
      <c r="C49" s="7" t="s">
        <v>26</v>
      </c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8" t="s">
        <v>27</v>
      </c>
      <c r="B50" s="9">
        <v>27.0</v>
      </c>
      <c r="C50" s="9" t="s">
        <v>28</v>
      </c>
      <c r="D50" s="4"/>
      <c r="E50" s="10"/>
      <c r="F50" s="10"/>
      <c r="G50" s="1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A51" s="8" t="s">
        <v>29</v>
      </c>
      <c r="B51" s="9">
        <v>0.063</v>
      </c>
      <c r="C51" s="9" t="s">
        <v>30</v>
      </c>
      <c r="D51" s="4"/>
      <c r="E51" s="10"/>
      <c r="F51" s="10"/>
      <c r="G51" s="1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8" t="s">
        <v>31</v>
      </c>
      <c r="B52" s="9">
        <v>400.0</v>
      </c>
      <c r="C52" s="9" t="s">
        <v>32</v>
      </c>
      <c r="D52" s="4"/>
      <c r="E52" s="10"/>
      <c r="F52" s="10"/>
      <c r="G52" s="1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8" t="s">
        <v>33</v>
      </c>
      <c r="B53" s="9">
        <v>70.0</v>
      </c>
      <c r="C53" s="9" t="s">
        <v>34</v>
      </c>
      <c r="D53" s="4"/>
      <c r="E53" s="10"/>
      <c r="F53" s="10"/>
      <c r="G53" s="1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8" t="s">
        <v>35</v>
      </c>
      <c r="B54" s="9">
        <f>B52/B53</f>
        <v>5.714285714</v>
      </c>
      <c r="C54" s="9" t="s">
        <v>36</v>
      </c>
      <c r="D54" s="4"/>
      <c r="E54" s="10"/>
      <c r="F54" s="10"/>
      <c r="G54" s="1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4"/>
      <c r="B55" s="4"/>
      <c r="C55" s="4"/>
      <c r="D55" s="4"/>
      <c r="E55" s="10"/>
      <c r="F55" s="10"/>
      <c r="G55" s="1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4"/>
      <c r="B56" s="4"/>
      <c r="C56" s="4"/>
      <c r="D56" s="4"/>
      <c r="E56" s="10"/>
      <c r="F56" s="10"/>
      <c r="G56" s="1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4"/>
      <c r="B57" s="4"/>
      <c r="C57" s="4"/>
      <c r="D57" s="4"/>
      <c r="E57" s="10"/>
      <c r="F57" s="10"/>
      <c r="G57" s="1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</sheetData>
  <mergeCells count="5">
    <mergeCell ref="D10:E10"/>
    <mergeCell ref="H10:I10"/>
    <mergeCell ref="J10:K10"/>
    <mergeCell ref="O10:P10"/>
    <mergeCell ref="S10:T10"/>
  </mergeCells>
  <drawing r:id="rId1"/>
</worksheet>
</file>