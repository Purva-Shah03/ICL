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s" sheetId="1" r:id="rId4"/>
  </sheets>
  <definedNames/>
  <calcPr/>
</workbook>
</file>

<file path=xl/sharedStrings.xml><?xml version="1.0" encoding="utf-8"?>
<sst xmlns="http://schemas.openxmlformats.org/spreadsheetml/2006/main" count="33" uniqueCount="32">
  <si>
    <t>Observed Data</t>
  </si>
  <si>
    <t>Equilibrium data</t>
  </si>
  <si>
    <t>Experimental Data</t>
  </si>
  <si>
    <t>Normality of NaOH
(N1)</t>
  </si>
  <si>
    <t>Volume of NaOH 
solution (V1) ml</t>
  </si>
  <si>
    <t>Volume of 
Acetic Acid (V2) ml</t>
  </si>
  <si>
    <t>Normality of 
Acetic Acid (N2)</t>
  </si>
  <si>
    <t>y*</t>
  </si>
  <si>
    <t>x</t>
  </si>
  <si>
    <t>Water(ml)</t>
  </si>
  <si>
    <t>Moles of acetic acid in feed</t>
  </si>
  <si>
    <t>Xf_aa</t>
  </si>
  <si>
    <t>Acetic Acid(ml)</t>
  </si>
  <si>
    <t>Moles of water in feed</t>
  </si>
  <si>
    <t>Xf_w</t>
  </si>
  <si>
    <t xml:space="preserve">Total moles in feed </t>
  </si>
  <si>
    <t>Distillate Calculations</t>
  </si>
  <si>
    <t>Moles of Acetic
acid</t>
  </si>
  <si>
    <t xml:space="preserve">Moles of water </t>
  </si>
  <si>
    <t>Total moles</t>
  </si>
  <si>
    <t>Y(acetic acid)</t>
  </si>
  <si>
    <t>Y(water)</t>
  </si>
  <si>
    <t>Residue Calculations</t>
  </si>
  <si>
    <t>W(moles)</t>
  </si>
  <si>
    <t>xaa</t>
  </si>
  <si>
    <t>xw</t>
  </si>
  <si>
    <t>y*-x</t>
  </si>
  <si>
    <t>1/(y*-x)</t>
  </si>
  <si>
    <t>Area Under Curve</t>
  </si>
  <si>
    <t>ln(F/W)</t>
  </si>
  <si>
    <t>Integral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</si>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</sst>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1" fillId="2" fontId="1" numFmtId="0" xfId="0" applyAlignment="1" applyBorder="1" applyFont="1">
      <alignment horizontal="center" readingOrder="0"/>
    </xf>
    <xf borderId="1" fillId="2" fontId="2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y* vs x (eqlm)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Calculations!$H$1:$H$2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cat>
            <c:strRef>
              <c:f>Calculations!$I$3:$I$18</c:f>
            </c:strRef>
          </c:cat>
          <c:val>
            <c:numRef>
              <c:f>Calculations!$H$3:$H$18</c:f>
              <c:numCache/>
            </c:numRef>
          </c:val>
          <c:smooth val="0"/>
        </c:ser>
        <c:axId val="554446112"/>
        <c:axId val="1702061922"/>
      </c:lineChart>
      <c:catAx>
        <c:axId val="55444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061922"/>
      </c:catAx>
      <c:valAx>
        <c:axId val="170206192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y*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446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y* vs x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trendline>
            <c:name/>
            <c:spPr>
              <a:ln w="19050">
                <a:solidFill>
                  <a:srgbClr val="4A86E8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Calculations!$I$15:$I$16</c:f>
            </c:numRef>
          </c:xVal>
          <c:yVal>
            <c:numRef>
              <c:f>Calculations!$H$15:$H$16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018474"/>
        <c:axId val="1309623625"/>
      </c:scatterChart>
      <c:valAx>
        <c:axId val="31701847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623625"/>
      </c:valAx>
      <c:valAx>
        <c:axId val="1309623625"/>
        <c:scaling>
          <c:orientation val="minMax"/>
          <c:min val="0.88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y*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018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1/(y*-x) vs xw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Calculations!$F$18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A86E8"/>
              </a:solidFill>
              <a:ln cmpd="sng">
                <a:solidFill>
                  <a:srgbClr val="4A86E8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Calculations!$C$19:$C$23</c:f>
            </c:numRef>
          </c:xVal>
          <c:yVal>
            <c:numRef>
              <c:f>Calculations!$F$19:$F$23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745370"/>
        <c:axId val="492797015"/>
      </c:scatterChart>
      <c:valAx>
        <c:axId val="151074537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xw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797015"/>
      </c:valAx>
      <c:valAx>
        <c:axId val="492797015"/>
        <c:scaling>
          <c:orientation val="minMax"/>
          <c:min val="11.7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1/(y*-x)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745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438150</xdr:colOff>
      <xdr:row>6</xdr:row>
      <xdr:rowOff>200025</xdr:rowOff>
    </xdr:from>
    <xdr:ext cx="485775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123825</xdr:colOff>
      <xdr:row>5</xdr:row>
      <xdr:rowOff>0</xdr:rowOff>
    </xdr:from>
    <xdr:ext cx="5400675" cy="3333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266700</xdr:colOff>
      <xdr:row>25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25"/>
    <col customWidth="1" min="3" max="3" width="19.38"/>
    <col customWidth="1" min="4" max="4" width="18.88"/>
    <col customWidth="1" min="11" max="11" width="26.5"/>
    <col customWidth="1" min="12" max="12" width="9.63"/>
    <col customWidth="1" min="13" max="13" width="25.0"/>
    <col customWidth="1" min="14" max="14" width="12.0"/>
    <col customWidth="1" min="15" max="15" width="9.63"/>
  </cols>
  <sheetData>
    <row r="1">
      <c r="A1" s="1" t="s">
        <v>0</v>
      </c>
      <c r="E1" s="2"/>
      <c r="F1" s="2"/>
      <c r="G1" s="2"/>
      <c r="H1" s="3" t="s">
        <v>1</v>
      </c>
      <c r="J1" s="2"/>
      <c r="K1" s="1" t="s">
        <v>2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>
      <c r="A2" s="4" t="s">
        <v>3</v>
      </c>
      <c r="B2" s="4" t="s">
        <v>4</v>
      </c>
      <c r="C2" s="4" t="s">
        <v>5</v>
      </c>
      <c r="D2" s="4" t="s">
        <v>6</v>
      </c>
      <c r="E2" s="5"/>
      <c r="F2" s="2"/>
      <c r="G2" s="2"/>
      <c r="H2" s="3" t="s">
        <v>7</v>
      </c>
      <c r="I2" s="3" t="s">
        <v>8</v>
      </c>
      <c r="J2" s="5"/>
      <c r="K2" s="6" t="s">
        <v>9</v>
      </c>
      <c r="L2" s="7">
        <v>300.0</v>
      </c>
      <c r="M2" s="6" t="s">
        <v>10</v>
      </c>
      <c r="N2" s="7">
        <f>(L3*1.05)/60</f>
        <v>3.5</v>
      </c>
      <c r="O2" s="8" t="s">
        <v>11</v>
      </c>
      <c r="P2" s="7">
        <f> N2/N4</f>
        <v>0.173553719</v>
      </c>
      <c r="Q2" s="5"/>
      <c r="R2" s="5"/>
      <c r="S2" s="2"/>
      <c r="T2" s="2"/>
      <c r="U2" s="2"/>
      <c r="V2" s="2"/>
      <c r="W2" s="2"/>
      <c r="X2" s="2"/>
      <c r="Y2" s="2"/>
      <c r="Z2" s="2"/>
    </row>
    <row r="3">
      <c r="A3" s="7">
        <v>1.0</v>
      </c>
      <c r="B3" s="9">
        <f>12.67</f>
        <v>12.67</v>
      </c>
      <c r="C3" s="9">
        <v>2.0</v>
      </c>
      <c r="D3" s="7">
        <f t="shared" ref="D3:D7" si="1">B3/C3</f>
        <v>6.335</v>
      </c>
      <c r="E3" s="5"/>
      <c r="F3" s="2"/>
      <c r="G3" s="2"/>
      <c r="H3" s="9">
        <v>0.0</v>
      </c>
      <c r="I3" s="9">
        <v>0.001</v>
      </c>
      <c r="J3" s="5"/>
      <c r="K3" s="6" t="s">
        <v>12</v>
      </c>
      <c r="L3" s="7">
        <v>200.0</v>
      </c>
      <c r="M3" s="6" t="s">
        <v>13</v>
      </c>
      <c r="N3" s="7">
        <f>L2/18</f>
        <v>16.66666667</v>
      </c>
      <c r="O3" s="8" t="s">
        <v>14</v>
      </c>
      <c r="P3" s="7">
        <f>N3/N4</f>
        <v>0.826446281</v>
      </c>
      <c r="Q3" s="5"/>
      <c r="R3" s="5"/>
      <c r="S3" s="2"/>
      <c r="T3" s="2"/>
      <c r="U3" s="2"/>
      <c r="V3" s="2"/>
      <c r="W3" s="2"/>
      <c r="X3" s="2"/>
      <c r="Y3" s="2"/>
      <c r="Z3" s="2"/>
    </row>
    <row r="4">
      <c r="A4" s="7">
        <v>1.0</v>
      </c>
      <c r="B4" s="5">
        <f>13.32</f>
        <v>13.32</v>
      </c>
      <c r="C4" s="9">
        <v>2.0</v>
      </c>
      <c r="D4" s="7">
        <f t="shared" si="1"/>
        <v>6.66</v>
      </c>
      <c r="E4" s="5"/>
      <c r="F4" s="2"/>
      <c r="G4" s="2"/>
      <c r="H4" s="9">
        <v>0.253</v>
      </c>
      <c r="I4" s="9">
        <v>0.01</v>
      </c>
      <c r="J4" s="5"/>
      <c r="K4" s="5"/>
      <c r="L4" s="5"/>
      <c r="M4" s="8" t="s">
        <v>15</v>
      </c>
      <c r="N4" s="7">
        <f>N2+N3</f>
        <v>20.16666667</v>
      </c>
      <c r="O4" s="7"/>
      <c r="P4" s="7"/>
      <c r="Q4" s="5"/>
      <c r="R4" s="5"/>
      <c r="S4" s="2"/>
      <c r="T4" s="2"/>
      <c r="U4" s="2"/>
      <c r="V4" s="2"/>
      <c r="W4" s="2"/>
      <c r="X4" s="2"/>
      <c r="Y4" s="2"/>
      <c r="Z4" s="2"/>
    </row>
    <row r="5">
      <c r="A5" s="7">
        <v>1.0</v>
      </c>
      <c r="B5" s="5">
        <f>14.3</f>
        <v>14.3</v>
      </c>
      <c r="C5" s="9">
        <v>2.0</v>
      </c>
      <c r="D5" s="7">
        <f t="shared" si="1"/>
        <v>7.15</v>
      </c>
      <c r="E5" s="5"/>
      <c r="F5" s="2"/>
      <c r="G5" s="2"/>
      <c r="H5" s="9">
        <v>0.425</v>
      </c>
      <c r="I5" s="7">
        <f>I4+0.01</f>
        <v>0.02</v>
      </c>
      <c r="J5" s="5"/>
      <c r="K5" s="5"/>
      <c r="L5" s="5"/>
      <c r="M5" s="5"/>
      <c r="N5" s="5"/>
      <c r="O5" s="5"/>
      <c r="P5" s="5"/>
      <c r="Q5" s="5"/>
      <c r="R5" s="5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5">
        <f>15.35</f>
        <v>15.35</v>
      </c>
      <c r="C6" s="9">
        <v>2.0</v>
      </c>
      <c r="D6" s="7">
        <f t="shared" si="1"/>
        <v>7.675</v>
      </c>
      <c r="E6" s="5"/>
      <c r="F6" s="2"/>
      <c r="G6" s="2"/>
      <c r="H6" s="9">
        <v>0.624</v>
      </c>
      <c r="I6" s="9">
        <v>0.05</v>
      </c>
      <c r="J6" s="5"/>
      <c r="K6" s="5"/>
      <c r="L6" s="5"/>
      <c r="M6" s="5"/>
      <c r="N6" s="5"/>
      <c r="O6" s="5"/>
      <c r="P6" s="5"/>
      <c r="Q6" s="5"/>
      <c r="R6" s="5"/>
      <c r="S6" s="2"/>
      <c r="T6" s="2"/>
      <c r="U6" s="2"/>
      <c r="V6" s="2"/>
      <c r="W6" s="2"/>
      <c r="X6" s="2"/>
      <c r="Y6" s="2"/>
      <c r="Z6" s="2"/>
    </row>
    <row r="7">
      <c r="A7" s="7">
        <v>1.0</v>
      </c>
      <c r="B7" s="5">
        <f>16</f>
        <v>16</v>
      </c>
      <c r="C7" s="9">
        <v>2.0</v>
      </c>
      <c r="D7" s="7">
        <f t="shared" si="1"/>
        <v>8</v>
      </c>
      <c r="E7" s="5"/>
      <c r="F7" s="2"/>
      <c r="G7" s="2"/>
      <c r="H7" s="9">
        <v>0.755</v>
      </c>
      <c r="I7" s="9">
        <v>0.1</v>
      </c>
      <c r="J7" s="5"/>
      <c r="K7" s="5"/>
      <c r="L7" s="5"/>
      <c r="M7" s="5"/>
      <c r="N7" s="5"/>
      <c r="O7" s="5"/>
      <c r="P7" s="5"/>
      <c r="Q7" s="5"/>
      <c r="R7" s="5"/>
      <c r="S7" s="2"/>
      <c r="T7" s="2"/>
      <c r="U7" s="2"/>
      <c r="V7" s="2"/>
      <c r="W7" s="2"/>
      <c r="X7" s="2"/>
      <c r="Y7" s="2"/>
      <c r="Z7" s="2"/>
    </row>
    <row r="8">
      <c r="A8" s="1" t="s">
        <v>16</v>
      </c>
      <c r="G8" s="2"/>
      <c r="H8" s="9">
        <v>0.798</v>
      </c>
      <c r="I8" s="9">
        <v>0.15</v>
      </c>
      <c r="J8" s="5"/>
      <c r="K8" s="5"/>
      <c r="L8" s="5"/>
      <c r="M8" s="5"/>
      <c r="N8" s="5"/>
      <c r="O8" s="5"/>
      <c r="P8" s="5"/>
      <c r="Q8" s="5"/>
      <c r="R8" s="5"/>
      <c r="S8" s="2"/>
      <c r="T8" s="2"/>
      <c r="U8" s="2"/>
      <c r="V8" s="2"/>
      <c r="W8" s="2"/>
      <c r="X8" s="2"/>
      <c r="Y8" s="2"/>
      <c r="Z8" s="2"/>
    </row>
    <row r="9">
      <c r="G9" s="2"/>
      <c r="H9" s="9">
        <v>0.815</v>
      </c>
      <c r="I9" s="9">
        <v>0.2</v>
      </c>
      <c r="J9" s="5"/>
      <c r="K9" s="5"/>
      <c r="L9" s="5"/>
      <c r="M9" s="5"/>
      <c r="N9" s="5"/>
      <c r="O9" s="5"/>
      <c r="P9" s="5"/>
      <c r="Q9" s="5"/>
      <c r="R9" s="5"/>
      <c r="S9" s="2"/>
      <c r="T9" s="2"/>
      <c r="U9" s="2"/>
      <c r="V9" s="2"/>
      <c r="W9" s="2"/>
      <c r="X9" s="2"/>
      <c r="Y9" s="2"/>
      <c r="Z9" s="2"/>
    </row>
    <row r="10">
      <c r="A10" s="4" t="s">
        <v>17</v>
      </c>
      <c r="B10" s="3" t="s">
        <v>18</v>
      </c>
      <c r="C10" s="4" t="s">
        <v>19</v>
      </c>
      <c r="D10" s="4" t="s">
        <v>20</v>
      </c>
      <c r="E10" s="10" t="s">
        <v>21</v>
      </c>
      <c r="F10" s="2"/>
      <c r="G10" s="2"/>
      <c r="H10" s="9">
        <v>0.83</v>
      </c>
      <c r="I10" s="9">
        <f t="shared" ref="I10:I16" si="2">I9+0.1</f>
        <v>0.3</v>
      </c>
      <c r="J10" s="5"/>
      <c r="K10" s="5"/>
      <c r="L10" s="5"/>
      <c r="M10" s="5"/>
      <c r="N10" s="5"/>
      <c r="O10" s="5"/>
      <c r="P10" s="5"/>
      <c r="Q10" s="5"/>
      <c r="R10" s="5"/>
      <c r="S10" s="2"/>
      <c r="T10" s="2"/>
      <c r="U10" s="2"/>
      <c r="V10" s="2"/>
      <c r="W10" s="2"/>
      <c r="X10" s="2"/>
      <c r="Y10" s="2"/>
      <c r="Z10" s="2"/>
    </row>
    <row r="11">
      <c r="A11" s="5">
        <f t="shared" ref="A11:A15" si="3"> (50*D3)/1000</f>
        <v>0.31675</v>
      </c>
      <c r="B11" s="5">
        <f t="shared" ref="B11:B15" si="4">( 50-((A11*60)/1.08))/18</f>
        <v>1.800154321</v>
      </c>
      <c r="C11" s="5">
        <f t="shared" ref="C11:C15" si="5"> A11 + B11</f>
        <v>2.116904321</v>
      </c>
      <c r="D11" s="11">
        <f t="shared" ref="D11:D15" si="6"> A11/C11</f>
        <v>0.1496288693</v>
      </c>
      <c r="E11" s="5">
        <f t="shared" ref="E11:E15" si="7"> 1 - D11</f>
        <v>0.8503711307</v>
      </c>
      <c r="F11" s="2"/>
      <c r="G11" s="2"/>
      <c r="H11" s="9">
        <v>0.839</v>
      </c>
      <c r="I11" s="9">
        <f t="shared" si="2"/>
        <v>0.4</v>
      </c>
      <c r="J11" s="5"/>
      <c r="K11" s="5"/>
      <c r="L11" s="5"/>
      <c r="M11" s="5"/>
      <c r="N11" s="5"/>
      <c r="O11" s="5"/>
      <c r="P11" s="5"/>
      <c r="Q11" s="5"/>
      <c r="R11" s="5"/>
      <c r="S11" s="2"/>
      <c r="T11" s="2"/>
      <c r="U11" s="2"/>
      <c r="V11" s="2"/>
      <c r="W11" s="2"/>
      <c r="X11" s="2"/>
      <c r="Y11" s="2"/>
      <c r="Z11" s="2"/>
    </row>
    <row r="12">
      <c r="A12" s="5">
        <f t="shared" si="3"/>
        <v>0.333</v>
      </c>
      <c r="B12" s="5">
        <f t="shared" si="4"/>
        <v>1.75</v>
      </c>
      <c r="C12" s="5">
        <f t="shared" si="5"/>
        <v>2.083</v>
      </c>
      <c r="D12" s="11">
        <f t="shared" si="6"/>
        <v>0.1598655785</v>
      </c>
      <c r="E12" s="5">
        <f t="shared" si="7"/>
        <v>0.8401344215</v>
      </c>
      <c r="F12" s="2"/>
      <c r="G12" s="2"/>
      <c r="H12" s="9">
        <v>0.849</v>
      </c>
      <c r="I12" s="9">
        <f t="shared" si="2"/>
        <v>0.5</v>
      </c>
      <c r="J12" s="5"/>
      <c r="K12" s="5"/>
      <c r="L12" s="5"/>
      <c r="M12" s="5"/>
      <c r="N12" s="5"/>
      <c r="O12" s="5"/>
      <c r="P12" s="5"/>
      <c r="Q12" s="5"/>
      <c r="R12" s="5"/>
      <c r="S12" s="2"/>
      <c r="T12" s="2"/>
      <c r="U12" s="2"/>
      <c r="V12" s="2"/>
      <c r="W12" s="2"/>
      <c r="X12" s="2"/>
      <c r="Y12" s="2"/>
      <c r="Z12" s="2"/>
    </row>
    <row r="13">
      <c r="A13" s="5">
        <f t="shared" si="3"/>
        <v>0.3575</v>
      </c>
      <c r="B13" s="5">
        <f t="shared" si="4"/>
        <v>1.674382716</v>
      </c>
      <c r="C13" s="5">
        <f t="shared" si="5"/>
        <v>2.031882716</v>
      </c>
      <c r="D13" s="11">
        <f t="shared" si="6"/>
        <v>0.1759451947</v>
      </c>
      <c r="E13" s="5">
        <f t="shared" si="7"/>
        <v>0.8240548053</v>
      </c>
      <c r="F13" s="2"/>
      <c r="G13" s="2"/>
      <c r="H13" s="9">
        <v>0.859</v>
      </c>
      <c r="I13" s="9">
        <f t="shared" si="2"/>
        <v>0.6</v>
      </c>
      <c r="J13" s="5"/>
      <c r="K13" s="5"/>
      <c r="L13" s="5"/>
      <c r="M13" s="5"/>
      <c r="N13" s="5"/>
      <c r="O13" s="5"/>
      <c r="P13" s="5"/>
      <c r="Q13" s="5"/>
      <c r="R13" s="5"/>
      <c r="S13" s="2"/>
      <c r="T13" s="2"/>
      <c r="U13" s="2"/>
      <c r="V13" s="2"/>
      <c r="W13" s="2"/>
      <c r="X13" s="2"/>
      <c r="Y13" s="2"/>
      <c r="Z13" s="2"/>
    </row>
    <row r="14">
      <c r="A14" s="5">
        <f t="shared" si="3"/>
        <v>0.38375</v>
      </c>
      <c r="B14" s="5">
        <f t="shared" si="4"/>
        <v>1.593364198</v>
      </c>
      <c r="C14" s="5">
        <f t="shared" si="5"/>
        <v>1.977114198</v>
      </c>
      <c r="D14" s="11">
        <f t="shared" si="6"/>
        <v>0.1940960216</v>
      </c>
      <c r="E14" s="5">
        <f t="shared" si="7"/>
        <v>0.8059039784</v>
      </c>
      <c r="F14" s="2"/>
      <c r="G14" s="2"/>
      <c r="H14" s="9">
        <v>0.874</v>
      </c>
      <c r="I14" s="9">
        <f t="shared" si="2"/>
        <v>0.7</v>
      </c>
      <c r="J14" s="5"/>
      <c r="K14" s="5"/>
      <c r="L14" s="5"/>
      <c r="M14" s="5"/>
      <c r="N14" s="5"/>
      <c r="O14" s="5"/>
      <c r="P14" s="5"/>
      <c r="Q14" s="5"/>
      <c r="R14" s="5"/>
      <c r="S14" s="2"/>
      <c r="T14" s="2"/>
      <c r="U14" s="2"/>
      <c r="V14" s="2"/>
      <c r="W14" s="2"/>
      <c r="X14" s="2"/>
      <c r="Y14" s="2"/>
      <c r="Z14" s="2"/>
    </row>
    <row r="15">
      <c r="A15" s="5">
        <f t="shared" si="3"/>
        <v>0.4</v>
      </c>
      <c r="B15" s="5">
        <f t="shared" si="4"/>
        <v>1.543209877</v>
      </c>
      <c r="C15" s="5">
        <f t="shared" si="5"/>
        <v>1.943209877</v>
      </c>
      <c r="D15" s="11">
        <f t="shared" si="6"/>
        <v>0.2058449809</v>
      </c>
      <c r="E15" s="5">
        <f t="shared" si="7"/>
        <v>0.7941550191</v>
      </c>
      <c r="F15" s="2"/>
      <c r="G15" s="2"/>
      <c r="H15" s="9">
        <v>0.898</v>
      </c>
      <c r="I15" s="9">
        <f t="shared" si="2"/>
        <v>0.8</v>
      </c>
      <c r="J15" s="5"/>
      <c r="K15" s="5"/>
      <c r="L15" s="5"/>
      <c r="M15" s="5"/>
      <c r="N15" s="5"/>
      <c r="O15" s="5"/>
      <c r="P15" s="5"/>
      <c r="Q15" s="5"/>
      <c r="R15" s="5"/>
      <c r="S15" s="2"/>
      <c r="T15" s="2"/>
      <c r="U15" s="2"/>
      <c r="V15" s="2"/>
      <c r="W15" s="2"/>
      <c r="X15" s="2"/>
      <c r="Y15" s="2"/>
      <c r="Z15" s="2"/>
    </row>
    <row r="16">
      <c r="A16" s="1" t="s">
        <v>22</v>
      </c>
      <c r="G16" s="2"/>
      <c r="H16" s="11">
        <v>0.935</v>
      </c>
      <c r="I16" s="9">
        <f t="shared" si="2"/>
        <v>0.9</v>
      </c>
      <c r="J16" s="5"/>
      <c r="K16" s="5"/>
      <c r="L16" s="5"/>
      <c r="M16" s="5"/>
      <c r="N16" s="5"/>
      <c r="O16" s="5"/>
      <c r="P16" s="5"/>
      <c r="Q16" s="5"/>
      <c r="R16" s="5"/>
      <c r="S16" s="2"/>
      <c r="T16" s="2"/>
      <c r="U16" s="2"/>
      <c r="V16" s="2"/>
      <c r="W16" s="2"/>
      <c r="X16" s="2"/>
      <c r="Y16" s="2"/>
      <c r="Z16" s="2"/>
    </row>
    <row r="17">
      <c r="G17" s="2"/>
      <c r="H17" s="9">
        <v>0.963</v>
      </c>
      <c r="I17" s="9">
        <v>0.95</v>
      </c>
      <c r="J17" s="5"/>
      <c r="K17" s="5"/>
      <c r="L17" s="5"/>
      <c r="M17" s="5"/>
      <c r="N17" s="5"/>
      <c r="O17" s="5"/>
      <c r="P17" s="5"/>
      <c r="Q17" s="5"/>
      <c r="R17" s="5"/>
      <c r="S17" s="2"/>
      <c r="T17" s="2"/>
      <c r="U17" s="2"/>
      <c r="V17" s="2"/>
      <c r="W17" s="2"/>
      <c r="X17" s="2"/>
      <c r="Y17" s="2"/>
      <c r="Z17" s="2"/>
    </row>
    <row r="18">
      <c r="A18" s="4" t="s">
        <v>23</v>
      </c>
      <c r="B18" s="3" t="s">
        <v>24</v>
      </c>
      <c r="C18" s="3" t="s">
        <v>25</v>
      </c>
      <c r="D18" s="4" t="s">
        <v>7</v>
      </c>
      <c r="E18" s="3" t="s">
        <v>26</v>
      </c>
      <c r="F18" s="4" t="s">
        <v>27</v>
      </c>
      <c r="G18" s="2"/>
      <c r="H18" s="9">
        <v>1.0</v>
      </c>
      <c r="I18" s="9">
        <v>1.0</v>
      </c>
      <c r="J18" s="5"/>
      <c r="K18" s="5"/>
      <c r="L18" s="5"/>
      <c r="M18" s="5"/>
      <c r="N18" s="5"/>
      <c r="O18" s="5"/>
      <c r="P18" s="5"/>
      <c r="Q18" s="5"/>
      <c r="R18" s="5"/>
      <c r="S18" s="2"/>
      <c r="T18" s="2"/>
      <c r="U18" s="2"/>
      <c r="V18" s="2"/>
      <c r="W18" s="2"/>
      <c r="X18" s="2"/>
      <c r="Y18" s="2"/>
      <c r="Z18" s="2"/>
    </row>
    <row r="19">
      <c r="A19" s="5">
        <f t="shared" ref="A19:A23" si="8"> $N$4 - C11</f>
        <v>18.04976235</v>
      </c>
      <c r="B19" s="11">
        <f t="shared" ref="B19:B23" si="9"> ($N$2 - A11)/A19</f>
        <v>0.1763596627</v>
      </c>
      <c r="C19" s="5">
        <f t="shared" ref="C19:C23" si="10"> 1 - B19</f>
        <v>0.8236403373</v>
      </c>
      <c r="D19" s="5">
        <f t="shared" ref="D19:D23" si="11"> 0.37*C19 + 0.602</f>
        <v>0.9067469248</v>
      </c>
      <c r="E19" s="5">
        <f t="shared" ref="E19:E23" si="12">D19 - C19</f>
        <v>0.08310658753</v>
      </c>
      <c r="F19" s="5">
        <f t="shared" ref="F19:F23" si="13"> 1/E19</f>
        <v>12.03274048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"/>
      <c r="T19" s="2"/>
      <c r="U19" s="2"/>
      <c r="V19" s="2"/>
      <c r="W19" s="2"/>
      <c r="X19" s="2"/>
      <c r="Y19" s="2"/>
      <c r="Z19" s="2"/>
    </row>
    <row r="20">
      <c r="A20" s="5">
        <f t="shared" si="8"/>
        <v>18.08366667</v>
      </c>
      <c r="B20" s="11">
        <f t="shared" si="9"/>
        <v>0.1751304123</v>
      </c>
      <c r="C20" s="5">
        <f t="shared" si="10"/>
        <v>0.8248695877</v>
      </c>
      <c r="D20" s="5">
        <f t="shared" si="11"/>
        <v>0.9072017474</v>
      </c>
      <c r="E20" s="5">
        <f t="shared" si="12"/>
        <v>0.08233215978</v>
      </c>
      <c r="F20" s="5">
        <f t="shared" si="13"/>
        <v>12.14592211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"/>
      <c r="T20" s="2"/>
      <c r="U20" s="2"/>
      <c r="V20" s="2"/>
      <c r="W20" s="2"/>
      <c r="X20" s="2"/>
      <c r="Y20" s="2"/>
      <c r="Z20" s="2"/>
    </row>
    <row r="21">
      <c r="A21" s="5">
        <f t="shared" si="8"/>
        <v>18.13478395</v>
      </c>
      <c r="B21" s="11">
        <f t="shared" si="9"/>
        <v>0.17328577</v>
      </c>
      <c r="C21" s="5">
        <f t="shared" si="10"/>
        <v>0.82671423</v>
      </c>
      <c r="D21" s="5">
        <f t="shared" si="11"/>
        <v>0.9078842651</v>
      </c>
      <c r="E21" s="5">
        <f t="shared" si="12"/>
        <v>0.08117003508</v>
      </c>
      <c r="F21" s="5">
        <f t="shared" si="13"/>
        <v>12.31981727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"/>
      <c r="T21" s="2"/>
      <c r="U21" s="2"/>
      <c r="V21" s="2"/>
      <c r="W21" s="2"/>
      <c r="X21" s="2"/>
      <c r="Y21" s="2"/>
      <c r="Z21" s="2"/>
    </row>
    <row r="22">
      <c r="A22" s="5">
        <f t="shared" si="8"/>
        <v>18.18955247</v>
      </c>
      <c r="B22" s="11">
        <f t="shared" si="9"/>
        <v>0.1713208725</v>
      </c>
      <c r="C22" s="5">
        <f t="shared" si="10"/>
        <v>0.8286791275</v>
      </c>
      <c r="D22" s="5">
        <f t="shared" si="11"/>
        <v>0.9086112772</v>
      </c>
      <c r="E22" s="5">
        <f t="shared" si="12"/>
        <v>0.0799321497</v>
      </c>
      <c r="F22" s="5">
        <f t="shared" si="13"/>
        <v>12.51061061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"/>
      <c r="T22" s="2"/>
      <c r="U22" s="2"/>
      <c r="V22" s="2"/>
      <c r="W22" s="2"/>
      <c r="X22" s="2"/>
      <c r="Y22" s="2"/>
      <c r="Z22" s="2"/>
    </row>
    <row r="23">
      <c r="A23" s="5">
        <f t="shared" si="8"/>
        <v>18.22345679</v>
      </c>
      <c r="B23" s="11">
        <f t="shared" si="9"/>
        <v>0.1701104261</v>
      </c>
      <c r="C23" s="5">
        <f t="shared" si="10"/>
        <v>0.8298895739</v>
      </c>
      <c r="D23" s="5">
        <f t="shared" si="11"/>
        <v>0.9090591423</v>
      </c>
      <c r="E23" s="5">
        <f t="shared" si="12"/>
        <v>0.07916956846</v>
      </c>
      <c r="F23" s="5">
        <f t="shared" si="13"/>
        <v>12.63111596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"/>
      <c r="T23" s="2"/>
      <c r="U23" s="2"/>
      <c r="V23" s="2"/>
      <c r="W23" s="2"/>
      <c r="X23" s="2"/>
      <c r="Y23" s="2"/>
      <c r="Z23" s="2"/>
    </row>
    <row r="24">
      <c r="A24" s="12"/>
      <c r="B24" s="12"/>
      <c r="C24" s="12"/>
      <c r="D24" s="12"/>
      <c r="E24" s="12"/>
      <c r="F24" s="1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"/>
      <c r="T24" s="2"/>
      <c r="U24" s="2"/>
      <c r="V24" s="2"/>
      <c r="W24" s="2"/>
      <c r="X24" s="2"/>
      <c r="Y24" s="2"/>
      <c r="Z24" s="2"/>
    </row>
    <row r="25">
      <c r="A25" s="1" t="s">
        <v>28</v>
      </c>
      <c r="C25" s="12"/>
      <c r="D25" s="12"/>
      <c r="E25" s="12"/>
      <c r="F25" s="1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"/>
      <c r="T25" s="2"/>
      <c r="U25" s="2"/>
      <c r="V25" s="2"/>
      <c r="W25" s="2"/>
      <c r="X25" s="2"/>
      <c r="Y25" s="2"/>
      <c r="Z25" s="2"/>
    </row>
    <row r="26">
      <c r="A26" s="1" t="s">
        <v>29</v>
      </c>
      <c r="B26" s="1" t="s">
        <v>30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"/>
      <c r="T26" s="2"/>
      <c r="U26" s="2"/>
      <c r="V26" s="2"/>
      <c r="W26" s="2"/>
      <c r="X26" s="2"/>
      <c r="Y26" s="2"/>
      <c r="Z26" s="2"/>
    </row>
    <row r="27">
      <c r="A27" s="13">
        <f t="shared" ref="A27:A31" si="14"> LN($N$4/A19)</f>
        <v>0.1108985581</v>
      </c>
      <c r="B27" s="13">
        <f t="shared" ref="B27:B28" si="15"> LOG(E19/(D19 - $P$3))*10</f>
        <v>0.1491642282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"/>
      <c r="T27" s="2"/>
      <c r="U27" s="2"/>
      <c r="V27" s="2"/>
      <c r="W27" s="2"/>
      <c r="X27" s="2"/>
      <c r="Y27" s="2"/>
      <c r="Z27" s="2"/>
    </row>
    <row r="28">
      <c r="A28" s="13">
        <f t="shared" si="14"/>
        <v>0.1090219396</v>
      </c>
      <c r="B28" s="13">
        <f t="shared" si="15"/>
        <v>0.08397578227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"/>
      <c r="T28" s="2"/>
      <c r="U28" s="2"/>
      <c r="V28" s="2"/>
      <c r="W28" s="2"/>
      <c r="X28" s="2"/>
      <c r="Y28" s="2"/>
      <c r="Z28" s="2"/>
    </row>
    <row r="29">
      <c r="A29" s="13">
        <f t="shared" si="14"/>
        <v>0.1061992171</v>
      </c>
      <c r="B29" s="13">
        <f t="shared" ref="B29:B31" si="16"> -LOG(E21/(D21 - $P$3))*10</f>
        <v>0.01431281158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"/>
      <c r="T29" s="2"/>
      <c r="U29" s="2"/>
      <c r="V29" s="2"/>
      <c r="W29" s="2"/>
      <c r="X29" s="2"/>
      <c r="Y29" s="2"/>
      <c r="Z29" s="2"/>
    </row>
    <row r="30">
      <c r="A30" s="13">
        <f t="shared" si="14"/>
        <v>0.1031836873</v>
      </c>
      <c r="B30" s="13">
        <f t="shared" si="16"/>
        <v>0.119653463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"/>
      <c r="T30" s="2"/>
      <c r="U30" s="2"/>
      <c r="V30" s="2"/>
      <c r="W30" s="2"/>
      <c r="X30" s="2"/>
      <c r="Y30" s="2"/>
      <c r="Z30" s="2"/>
    </row>
    <row r="31">
      <c r="A31" s="13">
        <f t="shared" si="14"/>
        <v>0.1013214775</v>
      </c>
      <c r="B31" s="13">
        <f t="shared" si="16"/>
        <v>0.1848938679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"/>
      <c r="T31" s="2"/>
      <c r="U31" s="2"/>
      <c r="V31" s="2"/>
      <c r="W31" s="2"/>
      <c r="X31" s="2"/>
      <c r="Y31" s="2"/>
      <c r="Z31" s="2"/>
    </row>
    <row r="32">
      <c r="A32" s="5">
        <f t="shared" ref="A32:B32" si="17"> AVERAGE(A27:A31)</f>
        <v>0.1061249759</v>
      </c>
      <c r="B32" s="5">
        <f t="shared" si="17"/>
        <v>0.1104000306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"/>
      <c r="T32" s="2"/>
      <c r="U32" s="2"/>
      <c r="V32" s="2"/>
      <c r="W32" s="2"/>
      <c r="X32" s="2"/>
      <c r="Y32" s="2"/>
      <c r="Z32" s="2"/>
    </row>
    <row r="33">
      <c r="A33" s="14" t="s">
        <v>31</v>
      </c>
      <c r="B33" s="15">
        <f>(B32 -A32)/A32</f>
        <v>0.04028320986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"/>
      <c r="T34" s="2"/>
      <c r="U34" s="2"/>
      <c r="V34" s="2"/>
      <c r="W34" s="2"/>
      <c r="X34" s="2"/>
      <c r="Y34" s="2"/>
      <c r="Z34" s="2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"/>
      <c r="T35" s="2"/>
      <c r="U35" s="2"/>
      <c r="V35" s="2"/>
      <c r="W35" s="2"/>
      <c r="X35" s="2"/>
      <c r="Y35" s="2"/>
      <c r="Z35" s="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"/>
      <c r="T36" s="2"/>
      <c r="U36" s="2"/>
      <c r="V36" s="2"/>
      <c r="W36" s="2"/>
      <c r="X36" s="2"/>
      <c r="Y36" s="2"/>
      <c r="Z36" s="2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2"/>
      <c r="T37" s="2"/>
      <c r="U37" s="2"/>
      <c r="V37" s="2"/>
      <c r="W37" s="2"/>
      <c r="X37" s="2"/>
      <c r="Y37" s="2"/>
      <c r="Z37" s="2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2"/>
      <c r="T38" s="2"/>
      <c r="U38" s="2"/>
      <c r="V38" s="2"/>
      <c r="W38" s="2"/>
      <c r="X38" s="2"/>
      <c r="Y38" s="2"/>
      <c r="Z38" s="2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2"/>
      <c r="T39" s="2"/>
      <c r="U39" s="2"/>
      <c r="V39" s="2"/>
      <c r="W39" s="2"/>
      <c r="X39" s="2"/>
      <c r="Y39" s="2"/>
      <c r="Z39" s="2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"/>
      <c r="T40" s="2"/>
      <c r="U40" s="2"/>
      <c r="V40" s="2"/>
      <c r="W40" s="2"/>
      <c r="X40" s="2"/>
      <c r="Y40" s="2"/>
      <c r="Z40" s="2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2"/>
      <c r="T41" s="2"/>
      <c r="U41" s="2"/>
      <c r="V41" s="2"/>
      <c r="W41" s="2"/>
      <c r="X41" s="2"/>
      <c r="Y41" s="2"/>
      <c r="Z41" s="2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2"/>
      <c r="T42" s="2"/>
      <c r="U42" s="2"/>
      <c r="V42" s="2"/>
      <c r="W42" s="2"/>
      <c r="X42" s="2"/>
      <c r="Y42" s="2"/>
      <c r="Z42" s="2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2"/>
      <c r="T43" s="2"/>
      <c r="U43" s="2"/>
      <c r="V43" s="2"/>
      <c r="W43" s="2"/>
      <c r="X43" s="2"/>
      <c r="Y43" s="2"/>
      <c r="Z43" s="2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2"/>
      <c r="T74" s="2"/>
      <c r="U74" s="2"/>
      <c r="V74" s="2"/>
      <c r="W74" s="2"/>
      <c r="X74" s="2"/>
      <c r="Y74" s="2"/>
      <c r="Z74" s="2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2"/>
      <c r="T75" s="2"/>
      <c r="U75" s="2"/>
      <c r="V75" s="2"/>
      <c r="W75" s="2"/>
      <c r="X75" s="2"/>
      <c r="Y75" s="2"/>
      <c r="Z75" s="2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2"/>
      <c r="T76" s="2"/>
      <c r="U76" s="2"/>
      <c r="V76" s="2"/>
      <c r="W76" s="2"/>
      <c r="X76" s="2"/>
      <c r="Y76" s="2"/>
      <c r="Z76" s="2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2"/>
      <c r="T77" s="2"/>
      <c r="U77" s="2"/>
      <c r="V77" s="2"/>
      <c r="W77" s="2"/>
      <c r="X77" s="2"/>
      <c r="Y77" s="2"/>
      <c r="Z77" s="2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2"/>
      <c r="T78" s="2"/>
      <c r="U78" s="2"/>
      <c r="V78" s="2"/>
      <c r="W78" s="2"/>
      <c r="X78" s="2"/>
      <c r="Y78" s="2"/>
      <c r="Z78" s="2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2"/>
      <c r="T79" s="2"/>
      <c r="U79" s="2"/>
      <c r="V79" s="2"/>
      <c r="W79" s="2"/>
      <c r="X79" s="2"/>
      <c r="Y79" s="2"/>
      <c r="Z79" s="2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2"/>
      <c r="T80" s="2"/>
      <c r="U80" s="2"/>
      <c r="V80" s="2"/>
      <c r="W80" s="2"/>
      <c r="X80" s="2"/>
      <c r="Y80" s="2"/>
      <c r="Z80" s="2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2"/>
      <c r="T81" s="2"/>
      <c r="U81" s="2"/>
      <c r="V81" s="2"/>
      <c r="W81" s="2"/>
      <c r="X81" s="2"/>
      <c r="Y81" s="2"/>
      <c r="Z81" s="2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2"/>
      <c r="T82" s="2"/>
      <c r="U82" s="2"/>
      <c r="V82" s="2"/>
      <c r="W82" s="2"/>
      <c r="X82" s="2"/>
      <c r="Y82" s="2"/>
      <c r="Z82" s="2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2"/>
      <c r="T83" s="2"/>
      <c r="U83" s="2"/>
      <c r="V83" s="2"/>
      <c r="W83" s="2"/>
      <c r="X83" s="2"/>
      <c r="Y83" s="2"/>
      <c r="Z83" s="2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2"/>
      <c r="T84" s="2"/>
      <c r="U84" s="2"/>
      <c r="V84" s="2"/>
      <c r="W84" s="2"/>
      <c r="X84" s="2"/>
      <c r="Y84" s="2"/>
      <c r="Z84" s="2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2"/>
      <c r="T85" s="2"/>
      <c r="U85" s="2"/>
      <c r="V85" s="2"/>
      <c r="W85" s="2"/>
      <c r="X85" s="2"/>
      <c r="Y85" s="2"/>
      <c r="Z85" s="2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2"/>
      <c r="T86" s="2"/>
      <c r="U86" s="2"/>
      <c r="V86" s="2"/>
      <c r="W86" s="2"/>
      <c r="X86" s="2"/>
      <c r="Y86" s="2"/>
      <c r="Z86" s="2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2"/>
      <c r="T87" s="2"/>
      <c r="U87" s="2"/>
      <c r="V87" s="2"/>
      <c r="W87" s="2"/>
      <c r="X87" s="2"/>
      <c r="Y87" s="2"/>
      <c r="Z87" s="2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2"/>
      <c r="T89" s="2"/>
      <c r="U89" s="2"/>
      <c r="V89" s="2"/>
      <c r="W89" s="2"/>
      <c r="X89" s="2"/>
      <c r="Y89" s="2"/>
      <c r="Z89" s="2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2"/>
      <c r="T90" s="2"/>
      <c r="U90" s="2"/>
      <c r="V90" s="2"/>
      <c r="W90" s="2"/>
      <c r="X90" s="2"/>
      <c r="Y90" s="2"/>
      <c r="Z90" s="2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2"/>
      <c r="T91" s="2"/>
      <c r="U91" s="2"/>
      <c r="V91" s="2"/>
      <c r="W91" s="2"/>
      <c r="X91" s="2"/>
      <c r="Y91" s="2"/>
      <c r="Z91" s="2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2"/>
      <c r="T92" s="2"/>
      <c r="U92" s="2"/>
      <c r="V92" s="2"/>
      <c r="W92" s="2"/>
      <c r="X92" s="2"/>
      <c r="Y92" s="2"/>
      <c r="Z92" s="2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2"/>
      <c r="T93" s="2"/>
      <c r="U93" s="2"/>
      <c r="V93" s="2"/>
      <c r="W93" s="2"/>
      <c r="X93" s="2"/>
      <c r="Y93" s="2"/>
      <c r="Z93" s="2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2"/>
      <c r="T94" s="2"/>
      <c r="U94" s="2"/>
      <c r="V94" s="2"/>
      <c r="W94" s="2"/>
      <c r="X94" s="2"/>
      <c r="Y94" s="2"/>
      <c r="Z94" s="2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2"/>
      <c r="T95" s="2"/>
      <c r="U95" s="2"/>
      <c r="V95" s="2"/>
      <c r="W95" s="2"/>
      <c r="X95" s="2"/>
      <c r="Y95" s="2"/>
      <c r="Z95" s="2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2"/>
      <c r="T97" s="2"/>
      <c r="U97" s="2"/>
      <c r="V97" s="2"/>
      <c r="W97" s="2"/>
      <c r="X97" s="2"/>
      <c r="Y97" s="2"/>
      <c r="Z97" s="2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2"/>
      <c r="T98" s="2"/>
      <c r="U98" s="2"/>
      <c r="V98" s="2"/>
      <c r="W98" s="2"/>
      <c r="X98" s="2"/>
      <c r="Y98" s="2"/>
      <c r="Z98" s="2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2"/>
      <c r="T99" s="2"/>
      <c r="U99" s="2"/>
      <c r="V99" s="2"/>
      <c r="W99" s="2"/>
      <c r="X99" s="2"/>
      <c r="Y99" s="2"/>
      <c r="Z99" s="2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D1"/>
    <mergeCell ref="H1:I1"/>
    <mergeCell ref="K1:P1"/>
    <mergeCell ref="A8:F9"/>
    <mergeCell ref="A16:F17"/>
    <mergeCell ref="A25:B25"/>
  </mergeCells>
  <drawing r:id="rId1"/>
</worksheet>
</file>