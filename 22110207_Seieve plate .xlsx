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<sst xmlns="http://schemas.openxmlformats.org/spreadsheetml/2006/main" count="24" uniqueCount="23">
  <si>
    <t>Boiling point of n-propanol</t>
  </si>
  <si>
    <t>(ºC)</t>
  </si>
  <si>
    <t>Boiling point of iso-propanol</t>
  </si>
  <si>
    <t>RI of pure n-propanol</t>
  </si>
  <si>
    <t>RI of pure iso-propanol</t>
  </si>
  <si>
    <t>(y)</t>
  </si>
  <si>
    <t>(x)</t>
  </si>
  <si>
    <t>Time (min)</t>
  </si>
  <si>
    <t>Top Product Refractive Index (Rd)</t>
  </si>
  <si>
    <t>Bottom Product Refractive Index (Rr)</t>
  </si>
  <si>
    <t xml:space="preserve">Mole Fraction of iso-propanol in Distillate (Xd) </t>
  </si>
  <si>
    <t>Mole Fraction of iso-propanol in Residue (Xr)</t>
  </si>
  <si>
    <t>Equilibrium Curve</t>
  </si>
  <si>
    <t>ln Psat</t>
  </si>
  <si>
    <t>Psat</t>
  </si>
  <si>
    <t>bar</t>
  </si>
  <si>
    <t>X</t>
  </si>
  <si>
    <t>Yeq</t>
  </si>
  <si>
    <t>Y</t>
  </si>
  <si>
    <t>Antoine equation constants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</si>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</sst>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1" numFmtId="0" xfId="0" applyFont="1"/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4" fontId="0" numFmtId="0" xfId="0" applyAlignment="1" applyFill="1" applyFont="1">
      <alignment horizontal="right" readingOrder="0" shrinkToFit="0" wrapText="0"/>
    </xf>
    <xf borderId="0" fillId="4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Mole fraction vs RI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Sheet1!$B$7:$B$20</c:f>
            </c:numRef>
          </c:xVal>
          <c:yVal>
            <c:numRef>
              <c:f>Sheet1!$D$7:$D$20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697405"/>
        <c:axId val="1496129968"/>
      </c:scatterChart>
      <c:valAx>
        <c:axId val="34869740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Product Refractive Index (Rd)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129968"/>
      </c:valAx>
      <c:valAx>
        <c:axId val="14961299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Mole fraction of iso-propanol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697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Yeqm, Y vs X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Sheet1!$A$28:$A$43</c:f>
            </c:strRef>
          </c:cat>
          <c:val>
            <c:numRef>
              <c:f>Sheet1!$C$28:$C$43</c:f>
              <c:numCache/>
            </c:numRef>
          </c:val>
          <c:smooth val="1"/>
        </c:ser>
        <c:ser>
          <c:idx val="1"/>
          <c:order val="1"/>
          <c:tx>
            <c:strRef>
              <c:f>Sheet1!$B$27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Sheet1!$A$28:$A$43</c:f>
            </c:strRef>
          </c:cat>
          <c:val>
            <c:numRef>
              <c:f>Sheet1!$B$28:$B$43</c:f>
              <c:numCache/>
            </c:numRef>
          </c:val>
          <c:smooth val="1"/>
        </c:ser>
        <c:axId val="1179205249"/>
        <c:axId val="991691253"/>
      </c:lineChart>
      <c:catAx>
        <c:axId val="1179205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691253"/>
      </c:catAx>
      <c:valAx>
        <c:axId val="99169125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205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 vs Mole fraction of iso-propanol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Sheet1!$D$6:$D$21</c:f>
            </c:strRef>
          </c:cat>
          <c:val>
            <c:numRef>
              <c:f>Sheet1!$B$6:$B$21</c:f>
              <c:numCache/>
            </c:numRef>
          </c:val>
          <c:smooth val="0"/>
        </c:ser>
        <c:axId val="441203734"/>
        <c:axId val="267669660"/>
      </c:lineChart>
      <c:catAx>
        <c:axId val="441203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Mole fraction of iso-propanol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669660"/>
      </c:catAx>
      <c:valAx>
        <c:axId val="267669660"/>
        <c:scaling>
          <c:orientation val="minMax"/>
          <c:max val="1.38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Refractive index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203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1895475</xdr:colOff>
      <xdr:row>25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1895475</xdr:colOff>
      <xdr:row>44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552450</xdr:colOff>
      <xdr:row>4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2.5"/>
    <col customWidth="1" min="3" max="3" width="25.5"/>
    <col customWidth="1" min="4" max="4" width="25.38"/>
    <col customWidth="1" min="5" max="5" width="25.0"/>
  </cols>
  <sheetData>
    <row r="1">
      <c r="A1" s="1" t="s">
        <v>0</v>
      </c>
      <c r="B1" s="2">
        <v>97.0</v>
      </c>
      <c r="C1" s="1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>
        <v>82.0</v>
      </c>
      <c r="C2" s="1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1">
        <v>1.3733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1">
        <v>1.3812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1" t="s">
        <v>5</v>
      </c>
      <c r="E5" s="1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0.0</v>
      </c>
      <c r="B7" s="1">
        <v>1.3768</v>
      </c>
      <c r="C7" s="1">
        <v>1.3799</v>
      </c>
      <c r="D7" s="3">
        <f t="shared" ref="D7:E7" si="1">(B7-$B$4)/($B$3-$B$4)</f>
        <v>0.5569620253</v>
      </c>
      <c r="E7" s="3">
        <f t="shared" si="1"/>
        <v>0.164556962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5.0</v>
      </c>
      <c r="B8" s="1">
        <v>1.3763</v>
      </c>
      <c r="C8" s="1">
        <v>1.3801</v>
      </c>
      <c r="D8" s="3">
        <f t="shared" ref="D8:E8" si="2">(B8-$B$4)/($B$3-$B$4)</f>
        <v>0.6202531646</v>
      </c>
      <c r="E8" s="3">
        <f t="shared" si="2"/>
        <v>0.1392405063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10.0</v>
      </c>
      <c r="B9" s="1">
        <v>1.3768</v>
      </c>
      <c r="C9" s="1">
        <v>1.38</v>
      </c>
      <c r="D9" s="3">
        <f t="shared" ref="D9:E9" si="3">(B9-$B$4)/($B$3-$B$4)</f>
        <v>0.5569620253</v>
      </c>
      <c r="E9" s="3">
        <f t="shared" si="3"/>
        <v>0.1518987342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15.0</v>
      </c>
      <c r="B10" s="1">
        <v>1.3778</v>
      </c>
      <c r="C10" s="1">
        <v>1.38</v>
      </c>
      <c r="D10" s="3">
        <f t="shared" ref="D10:E10" si="4">(B10-$B$4)/($B$3-$B$4)</f>
        <v>0.4303797468</v>
      </c>
      <c r="E10" s="3">
        <f t="shared" si="4"/>
        <v>0.1518987342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20.0</v>
      </c>
      <c r="B11" s="1">
        <v>1.377</v>
      </c>
      <c r="C11" s="1">
        <v>1.3802</v>
      </c>
      <c r="D11" s="3">
        <f t="shared" ref="D11:E11" si="5">(B11-$B$4)/($B$3-$B$4)</f>
        <v>0.5316455696</v>
      </c>
      <c r="E11" s="3">
        <f t="shared" si="5"/>
        <v>0.1265822785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25.0</v>
      </c>
      <c r="B12" s="1">
        <v>1.3772</v>
      </c>
      <c r="C12" s="1">
        <v>1.3801</v>
      </c>
      <c r="D12" s="3">
        <f t="shared" ref="D12:E12" si="6">(B12-$B$4)/($B$3-$B$4)</f>
        <v>0.5063291139</v>
      </c>
      <c r="E12" s="3">
        <f t="shared" si="6"/>
        <v>0.1392405063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30.0</v>
      </c>
      <c r="B13" s="1">
        <v>1.377</v>
      </c>
      <c r="C13" s="1">
        <v>1.3804</v>
      </c>
      <c r="D13" s="3">
        <f t="shared" ref="D13:E13" si="7">(B13-$B$4)/($B$3-$B$4)</f>
        <v>0.5316455696</v>
      </c>
      <c r="E13" s="3">
        <f t="shared" si="7"/>
        <v>0.1012658228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35.0</v>
      </c>
      <c r="B14" s="1">
        <v>1.3776</v>
      </c>
      <c r="C14" s="1">
        <v>1.3807</v>
      </c>
      <c r="D14" s="3">
        <f t="shared" ref="D14:E14" si="8">(B14-$B$4)/($B$3-$B$4)</f>
        <v>0.4556962025</v>
      </c>
      <c r="E14" s="3">
        <f t="shared" si="8"/>
        <v>0.06329113924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40.0</v>
      </c>
      <c r="B15" s="1">
        <v>1.3777</v>
      </c>
      <c r="C15" s="1">
        <v>1.3809</v>
      </c>
      <c r="D15" s="3">
        <f t="shared" ref="D15:E15" si="9">(B15-$B$4)/($B$3-$B$4)</f>
        <v>0.4430379747</v>
      </c>
      <c r="E15" s="3">
        <f t="shared" si="9"/>
        <v>0.03797468354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45.0</v>
      </c>
      <c r="B16" s="1">
        <v>1.3778</v>
      </c>
      <c r="C16" s="1">
        <v>1.3813</v>
      </c>
      <c r="D16" s="3">
        <f t="shared" ref="D16:D21" si="10">(B16-$B$4)/($B$3-$B$4)</f>
        <v>0.4303797468</v>
      </c>
      <c r="E16" s="3">
        <f t="shared" ref="E16:E19" si="11">(C16-$B$4)/($B$4-$B$3)</f>
        <v>0.01265822785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50.0</v>
      </c>
      <c r="B17" s="1">
        <v>1.3779</v>
      </c>
      <c r="C17" s="1">
        <v>1.3813</v>
      </c>
      <c r="D17" s="3">
        <f t="shared" si="10"/>
        <v>0.417721519</v>
      </c>
      <c r="E17" s="3">
        <f t="shared" si="11"/>
        <v>0.01265822785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55.0</v>
      </c>
      <c r="B18" s="1">
        <v>1.3779</v>
      </c>
      <c r="C18" s="1">
        <v>1.3814</v>
      </c>
      <c r="D18" s="3">
        <f t="shared" si="10"/>
        <v>0.417721519</v>
      </c>
      <c r="E18" s="3">
        <f t="shared" si="11"/>
        <v>0.0253164557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60.0</v>
      </c>
      <c r="B19" s="1">
        <v>1.3781</v>
      </c>
      <c r="C19" s="1">
        <v>1.3815</v>
      </c>
      <c r="D19" s="3">
        <f t="shared" si="10"/>
        <v>0.3924050633</v>
      </c>
      <c r="E19" s="3">
        <f t="shared" si="11"/>
        <v>0.03797468354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65.0</v>
      </c>
      <c r="B20" s="1">
        <v>1.3763</v>
      </c>
      <c r="C20" s="1">
        <v>1.3804</v>
      </c>
      <c r="D20" s="3">
        <f t="shared" si="10"/>
        <v>0.6202531646</v>
      </c>
      <c r="E20" s="3">
        <f t="shared" ref="E20:E21" si="12">(C20-$B$4)/($B$3-$B$4)</f>
        <v>0.1012658228</v>
      </c>
      <c r="F20" s="3"/>
      <c r="G20" s="3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70.0</v>
      </c>
      <c r="B21" s="1">
        <v>1.3763</v>
      </c>
      <c r="C21" s="1">
        <v>1.3804</v>
      </c>
      <c r="D21" s="3">
        <f t="shared" si="10"/>
        <v>0.6202531646</v>
      </c>
      <c r="E21" s="3">
        <f t="shared" si="12"/>
        <v>0.1012658228</v>
      </c>
      <c r="F21" s="3"/>
      <c r="G21" s="3"/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3"/>
      <c r="C22" s="3"/>
      <c r="D22" s="3"/>
      <c r="E22" s="3"/>
      <c r="F22" s="3"/>
      <c r="G22" s="3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12</v>
      </c>
      <c r="C23" s="1"/>
      <c r="D23" s="3"/>
      <c r="E23" s="3"/>
      <c r="F23" s="3"/>
      <c r="G23" s="3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13</v>
      </c>
      <c r="B24" s="1">
        <f>A47-B47/(273+100+C47)</f>
        <v>0.2933992382</v>
      </c>
      <c r="C24" s="5"/>
      <c r="D24" s="3"/>
      <c r="E24" s="3"/>
      <c r="F24" s="3"/>
      <c r="G24" s="3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14</v>
      </c>
      <c r="B25" s="1">
        <f>exp(B24)</f>
        <v>1.340978053</v>
      </c>
      <c r="C25" s="7" t="s">
        <v>15</v>
      </c>
      <c r="D25" s="3"/>
      <c r="E25" s="3"/>
      <c r="F25" s="3"/>
      <c r="G25" s="3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1"/>
      <c r="C26" s="5"/>
      <c r="D26" s="3"/>
      <c r="E26" s="3"/>
      <c r="F26" s="3"/>
      <c r="G26" s="3"/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16</v>
      </c>
      <c r="B27" s="4" t="s">
        <v>17</v>
      </c>
      <c r="C27" s="8" t="s">
        <v>18</v>
      </c>
      <c r="D27" s="3"/>
      <c r="E27" s="3"/>
      <c r="F27" s="3"/>
      <c r="G27" s="3"/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>
        <v>0.0</v>
      </c>
      <c r="B28" s="1">
        <v>0.0</v>
      </c>
      <c r="C28" s="5">
        <f t="shared" ref="C28:C43" si="13">A28</f>
        <v>0</v>
      </c>
      <c r="D28" s="3"/>
      <c r="E28" s="3"/>
      <c r="F28" s="3"/>
      <c r="G28" s="3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>
        <v>0.0575</v>
      </c>
      <c r="B29" s="9">
        <v>0.11</v>
      </c>
      <c r="C29" s="5">
        <f t="shared" si="13"/>
        <v>0.0575</v>
      </c>
      <c r="D29" s="3"/>
      <c r="E29" s="3"/>
      <c r="F29" s="3"/>
      <c r="G29" s="3"/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>
        <v>0.061</v>
      </c>
      <c r="B30" s="9">
        <v>0.111</v>
      </c>
      <c r="C30" s="5">
        <f t="shared" si="13"/>
        <v>0.061</v>
      </c>
      <c r="D30" s="3"/>
      <c r="E30" s="3"/>
      <c r="F30" s="3"/>
      <c r="G30" s="3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>
        <v>0.1455</v>
      </c>
      <c r="B31" s="9">
        <v>0.2325</v>
      </c>
      <c r="C31" s="5">
        <f t="shared" si="13"/>
        <v>0.1455</v>
      </c>
      <c r="D31" s="3"/>
      <c r="E31" s="3"/>
      <c r="F31" s="3"/>
      <c r="G31" s="3"/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>
        <v>0.2285</v>
      </c>
      <c r="B32" s="9">
        <v>0.351</v>
      </c>
      <c r="C32" s="5">
        <f t="shared" si="13"/>
        <v>0.2285</v>
      </c>
      <c r="D32" s="3"/>
      <c r="E32" s="3"/>
      <c r="F32" s="3"/>
      <c r="G32" s="3"/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>
        <v>0.3095</v>
      </c>
      <c r="B33" s="9">
        <v>0.4435</v>
      </c>
      <c r="C33" s="5">
        <f t="shared" si="13"/>
        <v>0.3095</v>
      </c>
      <c r="D33" s="3"/>
      <c r="E33" s="3"/>
      <c r="F33" s="3"/>
      <c r="G33" s="3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>
        <v>0.3125</v>
      </c>
      <c r="B34" s="9">
        <v>0.45</v>
      </c>
      <c r="C34" s="5">
        <f t="shared" si="13"/>
        <v>0.3125</v>
      </c>
      <c r="D34" s="3"/>
      <c r="E34" s="3"/>
      <c r="F34" s="3"/>
      <c r="G34" s="3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9">
        <v>0.42</v>
      </c>
      <c r="B35" s="9">
        <v>0.5545</v>
      </c>
      <c r="C35" s="5">
        <f t="shared" si="13"/>
        <v>0.42</v>
      </c>
      <c r="D35" s="3"/>
      <c r="E35" s="3"/>
      <c r="F35" s="3"/>
      <c r="G35" s="3"/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">
        <v>0.4355</v>
      </c>
      <c r="B36" s="9">
        <v>0.5725</v>
      </c>
      <c r="C36" s="5">
        <f t="shared" si="13"/>
        <v>0.4355</v>
      </c>
      <c r="D36" s="3"/>
      <c r="E36" s="3"/>
      <c r="F36" s="3"/>
      <c r="G36" s="3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9">
        <v>0.519</v>
      </c>
      <c r="B37" s="9">
        <v>0.66</v>
      </c>
      <c r="C37" s="5">
        <f t="shared" si="13"/>
        <v>0.519</v>
      </c>
      <c r="D37" s="3"/>
      <c r="E37" s="3"/>
      <c r="F37" s="3"/>
      <c r="G37" s="3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9">
        <v>0.631</v>
      </c>
      <c r="B38" s="9">
        <v>0.748</v>
      </c>
      <c r="C38" s="5">
        <f t="shared" si="13"/>
        <v>0.631</v>
      </c>
      <c r="D38" s="3"/>
      <c r="E38" s="3"/>
      <c r="F38" s="3"/>
      <c r="G38" s="3"/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9">
        <v>0.735</v>
      </c>
      <c r="B39" s="9">
        <v>0.8225</v>
      </c>
      <c r="C39" s="5">
        <f t="shared" si="13"/>
        <v>0.735</v>
      </c>
      <c r="D39" s="3"/>
      <c r="E39" s="3"/>
      <c r="F39" s="3"/>
      <c r="G39" s="3"/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9">
        <v>0.7675</v>
      </c>
      <c r="B40" s="9">
        <v>0.8495</v>
      </c>
      <c r="C40" s="5">
        <f t="shared" si="13"/>
        <v>0.7675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9">
        <v>0.8585</v>
      </c>
      <c r="B41" s="3">
        <v>0.9175</v>
      </c>
      <c r="C41" s="5">
        <f t="shared" si="13"/>
        <v>0.8585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>
        <v>0.91</v>
      </c>
      <c r="B42" s="3">
        <v>0.9525</v>
      </c>
      <c r="C42" s="5">
        <f t="shared" si="13"/>
        <v>0.91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>
        <v>1.0</v>
      </c>
      <c r="B43" s="3">
        <v>1.0</v>
      </c>
      <c r="C43" s="5">
        <f t="shared" si="13"/>
        <v>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 t="s">
        <v>19</v>
      </c>
      <c r="B45" s="1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20</v>
      </c>
      <c r="B46" s="1" t="s">
        <v>21</v>
      </c>
      <c r="C46" s="1" t="s">
        <v>22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>
        <v>4.861</v>
      </c>
      <c r="B47" s="10">
        <v>1357.427</v>
      </c>
      <c r="C47" s="10">
        <v>-75.814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1">
    <mergeCell ref="A23:B23"/>
  </mergeCells>
  <drawing r:id="rId1"/>
</worksheet>
</file>